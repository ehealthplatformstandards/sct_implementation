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gcloudbelgium.sharepoint.com/sites/GRP-HEALTH-workpackages-INTERNAL/Shared Documents/Internal - FPS only/General - Intern/"/>
    </mc:Choice>
  </mc:AlternateContent>
  <xr:revisionPtr revIDLastSave="3" documentId="8_{0E6574C6-A8E3-49C6-B30F-C15B8996FEEC}" xr6:coauthVersionLast="47" xr6:coauthVersionMax="47" xr10:uidLastSave="{B2C28DDF-82F1-4C7C-95CA-7EA33CFC5038}"/>
  <bookViews>
    <workbookView xWindow="-90" yWindow="-10890" windowWidth="19380" windowHeight="10260" xr2:uid="{ACB3B1E8-3D87-4CB2-9B1C-D90E8103D80B}"/>
  </bookViews>
  <sheets>
    <sheet name="Data Capabilities projects" sheetId="1" r:id="rId1"/>
    <sheet name="Data Innovation projects" sheetId="3" r:id="rId2"/>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 i="3" l="1"/>
  <c r="W3" i="3"/>
</calcChain>
</file>

<file path=xl/sharedStrings.xml><?xml version="1.0" encoding="utf-8"?>
<sst xmlns="http://schemas.openxmlformats.org/spreadsheetml/2006/main" count="379" uniqueCount="257">
  <si>
    <t>Project</t>
  </si>
  <si>
    <t>N</t>
  </si>
  <si>
    <t>Summary FR</t>
  </si>
  <si>
    <t>Summary NL</t>
  </si>
  <si>
    <t>Be Patient Problemlist</t>
  </si>
  <si>
    <t xml:space="preserve">Ce projet se concentre sur la standardisation et la structuration des listes de problèmes hospitaliers à l'aide du codage SNOMED CT. L'objectif principal est de rendre ces listes de problèmes interchangeables au niveau de la santé en ligne.
Deux composantes principales :
1) Mise en œuvre et meilleures pratiques
Documentation des mises en œuvre réussies et des lignes directrices techniques ("livre de recettes") pour les hôpitaux.
Utilisation du traitement du langage naturel (NLP) pour générer automatiquement une première liste de problèmes basée sur les données non structurées des DSE, qui est ensuite validée par les prestataires de soins de santé.
Attention portée à la formation, à la gestion du changement, à la gestion de la qualité, à la gestion des risques et aux exigences techniques des systèmes de DSE.
2) Échange et mise en œuvre à l'échelle du réseau
Traduire les expériences des hôpitaux locaux en un système dans lequel les listes de problèmes peuvent être partagées non seulement au sein d'un hôpital, mais aussi entre les hôpitaux.
Développement d'une visionneuse et d'un service web interactif pour visualiser, comparer et importer (partiellement) les listes de problèmes entre les systèmes de DSE.
L'accent est mis sur la réutilisation des données enregistrées afin d'éviter les enregistrements en double et d'accroître l'efficacité.
</t>
  </si>
  <si>
    <t>Dit project richt zich op het standaardiseren en structureren van probleemlijsten van ziekenhuizen met behulp van SNOMED CT-codering. Het hoofddoel is om deze probleemlijsten uitwisselbaar te maken op eHealth-niveau.
Twee hoofdcomponenten:
1) Implementatie en best practice
Documentatie van succesvolle implementaties en technische richtlijnen ("receptenboek") voor ziekenhuizen.
Gebruik van Natural Language Processing (NLP) om automatisch een initiële probleemlijst te genereren op basis van ongestructureerde EHR-gegevens, die vervolgens wordt gevalideerd door zorgverleners.
Aandacht voor training, verandermanagement, kwaliteitsmanagement, risicomanagement en technische vereisten van EHR-systemen.
2) Netwerkbrede uitwisseling en implementatie
Vertaal de ervaringen van lokale ziekenhuizen naar een systeem waarbij probleemlijsten niet alleen binnen een ziekenhuis, maar ook tussen ziekenhuizen gedeeld kunnen worden.
Het ontwikkelen van een viewer en interactieve webservice om probleemlijsten te bekijken, vergelijken en (deels) importeren tussen EHR-systemen.
De nadruk ligt op hergebruik van geregistreerde gegevens om dubbele records te voorkomen en de efficiëntie te verhogen.</t>
  </si>
  <si>
    <t>QualiFHIR</t>
  </si>
  <si>
    <t xml:space="preserve">Ce projet vise à améliorer la qualité des modèles prédictifs et des indicateurs qualité en mettant en place une stratégie de production de données cliniques structurées, interopérables et réutilisables. Ces données seront intégrées dans un entrepôt selon les principes FAIR (Findable, Accessible, Interoperable, Reusable).
Objectifs clés :
Définir des standards, méthodes et technologies pour structurer les données cliniques, en s’inspirant des initiatives en oncologie et des eCQMs américains.
Utiliser SNOMED CT pour la normalisation des données cliniques et HL7 FHIR pour leur échange.
Établir un flux de travail complet allant de la capture des données à leur contrôle qualité.
</t>
  </si>
  <si>
    <t>Dit project heeft als doel de kwaliteit van voorspellende modellen en kwaliteitsindicatoren te verbeteren door een strategie te ontwikkelen voor de productie van gestructureerde, interoperabele en herbruikbare klinische gegevens. Deze gegevens worden geïntegreerd in een datawarehouse volgens de FAIR-principes (Findable, Accessible, Interoperable, Reusable).
Belangrijke doelstellingen:
Standaarden, methoden en technologieën definiëren voor het structureren van klinische gegevens, geïnspireerd door initiatieven in de oncologie en de Amerikaanse eCQMs.
SNOMED CT gebruiken voor de normalisatie van klinische gegevens en HL7 FHIR voor de uitwisseling ervan.
Een volledige workflow opzetten, van gegevensregistratie tot kwaliteitscontrole.</t>
  </si>
  <si>
    <t>FHIN</t>
  </si>
  <si>
    <t xml:space="preserve">FHIN permet une médecine et des soins basés sur les données grâce à une plateforme de données multicentrique très performante, visant les objectifs suivants :
1 normalisation à plusieurs niveaux ; 
-amélioration de la qualité des données
-normalisation des relations contextuelles
-outillage unifié (outils logiciels open source unifiés)
-réduction des biais grâce à la collaboration 
2 échange de données sans dérive et FAIR pour améliorer les résultats pour les patients 
3 assurance qualité pour les données contextuelles et cliniques liées dans OMOP CDM
4 plateforme de données multicentrique efficace
5 partenariat égalitaire pour favoriser la confiance entre les 9 partenaires
6 alignement sur la certification et la conformité MDR 
7 réseau évolutif international 
Le projet FHIN complètera les éléments suivants dans son plan de projet : 1 infrastructure, 2 passerelle de données, 3 RiAB ETL, 4 tables de correspondance (préparation des données), 5 échange de données (flux de données), 6 qualité des données et démonstration (analyse).
</t>
  </si>
  <si>
    <t>FHIN maakt datagestuurde geneeskunde en zorg mogelijk door middel van een krachtig multicenter dataplatform, met de volgende doelstellingen:
1 standaardisatie op verschillende niveaus; 
-verbeteren van datakwaliteit
-standaardiseren van contextuele relaties
-unified tooling (unified open source software tools)
-reduceren van bias door samenwerking 
2 driftvrije data-uitwisseling en FAIR om patiëntuitkomsten te verbeteren 
3 kwaliteitsborging voor contextuele en klinische data gekoppeld in OMOP CDM
4 efficiënt multicenter dataplatform
5 gelijkwaardig partnerschap om vertrouwen tussen de 9 partners te bevorderen
6 afstemming over MDR certificering en compliance 
7 internationaal schaalbaar netwerk 
Het FHIN project zal de volgende elementen in haar projectplan voltooien: 1 infrastructuur, 2 data gateway, 3 RiAB ETL, 4 mapping tables (datavoorbereiding), 5 data-uitwisseling (datastroom), 6 datakwaliteit en demonstratie (analyse).</t>
  </si>
  <si>
    <t>SPECTR-HD</t>
  </si>
  <si>
    <t>1) SPECTRE-HD promeut des données de santé équitables avec des services et des solutions évolutifs qui sont déployés dans l'environnement propre à l'hôpital :
F - utilisation d'un catalogue de données pour trouver et explorer les ensembles de données existants dans l'hôpital 
A - rendre les données structurées des DSE accessibles aux utilisateurs dans les registres hospitaliers harmonisés au moyen de la collecte de données avec des pipelines automatisés
I - standardisation sur Snomed CT ou OMOP-CDM pour les requêtes agrégées ou fédérées multicentriques
R - permettre la réutilisation des données dans les notes cliniques non structurées en utilisant le NLP et la pseudonymisation
2) SPECTRE-HD promeut le partage sécurisé et fiable des données dans le contexte de l'Espace européen des données de santé (EHDS) :
MINE - création d'une plateforme locale pour collecter et préparer efficacement tout type de données en vue de les partager de manière sûre et standard avec les utilisateurs autorisés ;
TREzure - création d'une plateforme centrale pour partager et traiter en toute sécurité les données des hôpitaux avant de les mettre à la disposition des demandeurs de données
3) Le projet pilote sur les maladies rares démontrera les services et solutions FAIR d'habilitation des données proposés dans le cadre de SPECTRE-HD :
- exploiter les données structurées et non structurées existantes dans les dossiers médicaux électroniques pour identifier les patients (potentiellement non diagnostiqués) atteints d'une maladie rare
- collecter des données sur ces patients dans un registre local des maladies rares 
- partager ces données en toute sécurité intra muros et extra muros</t>
  </si>
  <si>
    <t xml:space="preserve">1) SPECTRE-HD bevordert eerlijke gezondheidsgegevens met schaalbare diensten en oplossingen die worden ingezet binnen de ziekenhuisomgeving:  
- F – gebruik van een gegevenscatalogus om bestaande datasets in het ziekenhuis te vinden en te verkennen.  
- A – gestructureerde gegevens uit het EPD toegankelijk maken voor gebruikers in geharmoniseerde ziekenhuisregisters via geautomatiseerde dataverzamelingspipelines.  
- I – standaardisatie op Snomed CT of OMOP-CDM voor geaggregeerde of federatieve multicentrische queries.  
- R – hergebruik van gegevens uit ongestructureerde klinische notities mogelijk maken met NLP en pseudonimisering.  
 2) SPECTRE-HD bevordert de veilige en betrouwbare uitwisseling van gegevens binnen de context van de Europese ruimte voor gezondheidsgegevens (EHDS):  
- MINE – creëren van een lokaal platform om alle soorten gegevens efficiënt te verzamelen en voor te bereiden, zodat ze veilig en gestandaardiseerd kunnen worden gedeeld met geautoriseerde gebruikers.  
- TREzure – ontwikkelen van een centraal platform om ziekenhuisgegevens veilig te delen en te verwerken voordat ze beschikbaar worden gesteld aan gegevensaanvragers.  
3) Het pilotproject over zeldzame ziekten zal de FAIR-dataservices en -oplossingen van SPECTRE-HD demonstreren:  
- gebruik maken van bestaande gestructureerde en ongestructureerde gegevens uit elektronische medische dossiers om patiënten (mogelijk ongediagnosticeerd) met een zeldzame ziekte te identificeren.  
- gegevens over deze patiënten verzamelen in een lokaal register voor zeldzame ziekten.  
- deze gegevens veilig delen binnen en buiten het ziekenhuis.  </t>
  </si>
  <si>
    <t>DPI for INAH</t>
  </si>
  <si>
    <t>L'objectif du projet DPIforINAH est de faire passer le projet INAH à une dimension supérieure en implémentant un extracteur de données des DPI hospitaliers, sur base de reconnaissance du langage naturel, pour alimenter le datawarehouse INAH au format OMOP. Un set d'analyses spécifiques sera rajouté au projet INAH afin de valider médicalement et techniquement la qualité de la transformation des données provenant du DPI. Cette phase 1 du projet se focalisera sur les données de vaccination, d'allergies et d'oncologie. 
Par ailleurs, le projet analysera les similarités et discordances de pratiques entre les institutions impliquées et la médecine générale (via le datawarehouse INAH du Réseau Santé Wallon), afin d'offrir des outils de benchmarking et de définir une stratégie de convergence qui pourrait par la suite être appliquée à l'échelle régionale.
Enfin, le projet examinera la possibilité de générer plusieurs datasets publiquement accessibles et mis à jour régulièrement, dans l'esprit de la loi Open-Data fédérale en cours de révision. 
Ce projet vise donc fondamentalement à contribuer à la standardisation des données de santé de 1ère et 2ème lignes en région wallonne en vue d’une réutilisation des données afin d’améliorer :
- la recherche scientifique,
- le pilotage du système de soins wallon,
- le pilotage du système e-santé wallon.</t>
  </si>
  <si>
    <t>Het doel van het DPIforINAH-project is om het INAH-project naar een hoger niveau te tillen door een op natuurlijke taalherkenning gebaseerde gegevensextractor voor CIO's van ziekenhuizen te implementeren om het INAH-datawarehouse in OMOP-formaat te voeden. Een set specifieke analyses zal worden toegevoegd aan het INAH-project om de kwaliteit van de transformatie van gegevens van de CIO medisch en technisch te valideren. Fase 1 van het project zal zich richten op vaccinatie-, allergie- en oncologiegegevens. 
Daarnaast zal het project de overeenkomsten en discrepanties in de praktijken tussen de betrokken instellingen en huisartsenpraktijken analyseren (via het INAH datawarehouse van het Réseau Santé Wallon), om benchmarkinginstrumenten te bieden en een convergentiestrategie te definiëren die vervolgens op regionale schaal kan worden toegepast.
Tot slot zal het project de mogelijkheid onderzoeken om verschillende datasets te genereren die publiek toegankelijk zijn en regelmatig worden bijgewerkt, in de geest van de federale wet op open data die momenteel wordt herzien. 
Het fundamentele doel van dit project is dus om bij te dragen aan de standaardisatie van 1e en 2e lijns gezondheidsgegevens in het Waalse Gewest, met het oog op hergebruik van de gegevens om :
- wetenschappelijk onderzoek,
- beheer van het Waalse gezondheidszorgsysteem,
- beheer van het Waalse e-gezondheidssysteem.</t>
  </si>
  <si>
    <t>Datadriven Personeels- en Capaciteitsplanning</t>
  </si>
  <si>
    <t>Le personnel et la capacité des lits sont des enjeux majeurs dans la gestion hospitalière. La période du Covid nous a appris qu’il n’est pas évident d’avoir une vision claire, à l’échelle des hôpitaux, de l’occupation des lits, des profils de soins et du staffing. Une compréhension approfondie du « staffing adéquat » de la capacité d’hospitalisation est non seulement essentielle pour garantir des soins de qualité et sécurisés, mais devient également de plus en plus importante pour assurer l’accessibilité aux soins.
En partageant (au maximum) les éléments de données via un format standard (FHIR), les hôpitaux peuvent construire un outil de suivi fournissant les informations nécessaires pour aborder ces enjeux. Il est crucial que les hôpitaux définissent et enregistrent les données de manière uniforme (par exemple, l’occupation du personnel par unité de soins, les paramètres mesurant la charge de soins par patient).
Lorsque cela est pertinent, les données peuvent être comparées, tant pour la gestion opérationnelle au sein des hôpitaux que pour l’élaboration des politiques de santé.</t>
  </si>
  <si>
    <t>Personeel en beddencapaciteit zijn belangrijke thema's in het ziekenhuismanagement. De Covid-periode heeft ons geleerd dat het niet eenvoudig is om op ziekenhuisniveau een duidelijke visie te hebben op bedbezetting, zorgprofielen en personeelsbezetting. Een gedegen inzicht in de ‘juiste bezetting’ van opnamecapaciteit is niet alleen essentieel om veilige, kwalitatieve zorg te garanderen, maar wordt ook steeds belangrijker om de toegankelijkheid van zorg te waarborgen.
Door het (zoveel mogelijk) delen van data-elementen via een standaard formaat (FHIR) kunnen ziekenhuizen een monitoring tool bouwen die de informatie levert die nodig is om deze kwesties aan te pakken. Het is cruciaal dat ziekenhuizen gegevens op een consistente manier definiëren en vastleggen (bijv. personeelsbezetting per afdeling, parameters die de zorgbelasting per patiënt meten).
Waar relevant kunnen gegevens vergeleken worden, zowel voor operationeel beheer binnen ziekenhuizen als voor de ontwikkeling van gezondheidsbeleid.</t>
  </si>
  <si>
    <t>Ontsluiting KWS data in FHIR</t>
  </si>
  <si>
    <t>Pour collaborer sur des données cliniques avec des hôpitaux utilisant un EPD différent de KWS, il est nécessaire de mettre en place un format commun ad hoc pour traiter ces données. De plus, lorsque nous faisons appel à une entreprise tierce pour le traitement des données ou le développement d'un modèle d'IA, cette entreprise doit soit se familiariser avec les spécificités du modèle de données KWS, soit nous devons convertir les données dans un format connu d'elle. Ainsi, nous convertissons les fichiers de données en ressources FHIR et les stockons dans un magasin FHIR. Si les données doivent être consolidées et traitées avec un autre DSE, celles-ci peuvent également être fournies en format FHIR, permettant ainsi un traitement commun. Ainsi, les tiers n'ont besoin que de connaître le modèle FHIR pour travailler avec les données, sans avoir à connaître les spécificités du modèle KWS.</t>
  </si>
  <si>
    <t>Om samen te werken aan klinische gegevens met ziekenhuizen die een ander EPD dan KWS gebruiken, is het noodzakelijk om een ad-hoc gemeenschappelijk formaat op te zetten voor de verwerking van deze gegevens.  
Bovendien, wanneer we een externe onderneming inschakelen voor gegevensverwerking of de ontwikkeling van een AI-model, moet deze onderneming zich óf vertrouwd maken met de specifieke kenmerken van het KWS-datamodel, óf wij moeten de gegevens converteren naar een voor hen bekend formaat. Daarom converteren we de gegevensbestanden naar FHIR-resources en slaan we ze op in een FHIR-datastore.  
Als de gegevens moeten worden geconsolideerd en verwerkt met een ander EPD, kunnen ze ook in FHIR-formaat worden aangeleverd, wat een uniforme verwerking mogelijk maakt. Hierdoor hoeven externe partijen alleen het FHIR-model te kennen om met de gegevens te werken, zonder zich te verdiepen in de specifieke kenmerken van het KWS-model.</t>
  </si>
  <si>
    <t>E17 on FHIR</t>
  </si>
  <si>
    <t>Le projet "E17-hospital network on FHIR" vise à faciliter et à étendre la réutilisation des données dans un réseau hospitalier. Pour cela, une solution durable est recherchée pour permettre l'échange de données entre les différents services de santé ainsi que pour des utilisations externes au réseau. Les données locales seront converties dans un langage standard et stockées localement dans un format FAIR (Findable, Accessible, Interoperable and Reusable) basé sur FHIR. Ces données pourront ensuite être interrogées via une station FHIR locale, permettant un échange de données fédéré vers le réseau hospitalier E17 et éventuellement vers d'autres parties. Au sein du réseau hospitalier E17, un espace de données commun sera créé, permettant le stockage et le traitement des données pseudonymisées provenant de différents hôpitaux, ainsi que la disponibilité des résultats d'analyse pour tous les membres. Ceci permettra une meilleure collecte et gestion des données au niveau du réseau et au-delà.</t>
  </si>
  <si>
    <t>Het “E17-ziekenhuisnetwerk op FHIR”-project heeft als doel het hergebruik van gegevens binnen een ziekenhuisnetwerk te vergemakkelijken en uit te breiden. Om dit te bereiken wordt er gezocht naar een duurzame oplossing waarmee gegevens kunnen worden uitgewisseld tussen de verschillende gezondheidsdiensten en voor gebruik buiten het netwerk. Lokale gegevens worden omgezet in een standaardtaal en lokaal opgeslagen in een FAIR-formaat (Findable, Accessible, Interoperable and Reusable) op basis van FHIR. Deze gegevens kunnen dan worden opgevraagd via een lokaal FHIR-station, waardoor gefedereerde gegevensuitwisseling met het E17-ziekenhuisnetwerk en mogelijk met andere partijen mogelijk wordt. Binnen het E17 ziekenhuisnetwerk zal een gemeenschappelijke dataruimte worden gecreëerd, waardoor gepseudonimiseerde gegevens van verschillende ziekenhuizen kunnen worden opgeslagen en verwerkt, en analyseresultaten beschikbaar kunnen worden gesteld aan alle leden. Dit zal een betere gegevensverzameling en -beheer op netwerkniveau en daarbuiten mogelijk maken.</t>
  </si>
  <si>
    <t>ePSUM</t>
  </si>
  <si>
    <t>Créer et partager des résumés cliniques structurés (SNOMED CT, FHIR) entre les institutions du réseau dans le cadre d'un usage primaire et secondaire 
SMART I - Architecture FHIR et Gouvernance de la data
SMART II - Production et exploitation des résumés généralistes 'ePSUM standard'
SMART III - Production et exploitation des résumés oncologiques 'ePSUM onco'</t>
  </si>
  <si>
    <t>Gestructureerde klinische samenvattingen (SNOMED CT, FHIR) maken en delen tussen netwerkinstellingen voor primair en secundair gebruik 
SMART I - FHIR architectuur en data governance
SMART II - Productie en gebruik van 'ePSUM standaard' generalistische samenvattingen
SMART III - Productie en gebruik van 'ePSUM onco' oncologie samenvattingen</t>
  </si>
  <si>
    <t>SHIFT</t>
  </si>
  <si>
    <t>Au sein des hôpitaux participants, les antécédents médicaux connus, les allergies et les intolérances sont enregistrés de manière structurée et partagés avec le système CoZo, permettant à tous les acteurs de soins de santé en Belgique d'y accéder. Une visualisation est également disponible pour faciliter l'échange avec les portails ne pouvant pas traiter directement le format FHIR. Les systèmes EHR existants en Belgique peuvent potentiellement intégrer les messages FHIR via un connecteur. Pour le patient, ces données sont facilement accessibles et transparentes. De plus, il est envisagé de générer une valeur ajoutée à partir de ces données structurées pour les systèmes externes ou sources validées.</t>
  </si>
  <si>
    <t>In de deelnemende ziekenhuizen worden bekende medische voorgeschiedenissen, allergieën en intoleranties op een gestructureerde manier geregistreerd en gedeeld met het CoZo-systeem, zodat alle zorgverleners in België er toegang toe hebben. Er is ook een visualisatie beschikbaar om de uitwisseling te vergemakkelijken met portalen die het FHIR-formaat niet rechtstreeks kunnen verwerken. De bestaande EHR-systemen in België kunnen mogelijk FHIR-berichten integreren via een connector. Voor de patiënt zijn deze gegevens eenvoudig toegankelijk en transparant. Bovendien wordt overwogen om toegevoegde waarde te genereren uit deze gestructureerde gegevens voor externe systemen of gevalideerde bronnen.</t>
  </si>
  <si>
    <t>NLP &gt; OMOP</t>
  </si>
  <si>
    <t>Ce projet vise à traduire des données médicales non structurées en utilisant le système Snomed CT et l'OMOP. Une solution générique est développée, indépendante de la maladie, de la langue et du système d'EPD, avec un seuil d'utilisation bas. Les modèles d'apprentissage profond ont montré une meilleure capacité à capturer le contexte clinique pertinent par rapport aux méthodes traditionnelles de traitement du langage naturel. Ces modèles sont également auto-apprenants et peuvent exprimer l'incertitude ou l'ambiguïté grâce à des scores de fiabilité. Des connaissances et des ressources ont été acquises pour mettre en place un système d'apprentissage profond à court terme. L'objectif est de rendre les données non structurées FAIR (trouvables, accessibles, interopérables et réutilisables) en utilisant l'apprentissage profond, en ajoutant des tables de NLP au modèle de données OMOP et en les remplissant avec les modèles d'apprentissage profond. L'approche proposée est entièrement réalisée sur site pour garantir que les données des patients ne quittent pas l'hôpital.</t>
  </si>
  <si>
    <t>Dit project heeft als doel om niet-gestructureerde medische gegevens te vertalen met behulp van het Snomed CT- en OMOP-systeem. Er wordt een generieke oplossing ontwikkeld die onafhankelijk is van de ziekte, de taal en het EPD-systeem, met een lage gebruiksdrempel.  
Diepgaande leermodellen hebben een betere capaciteit getoond om relevante klinische context vast te leggen in vergelijking met traditionele methoden voor natuurlijke taalverwerking. Deze modellen zijn bovendien zelflerend en kunnen onzekerheid of ambiguïteit uitdrukken via betrouwbaarheidscores. Er zijn kennis en middelen verworven om op korte termijn een deep-learning-systeem op te zetten.  
Het doel is om niet-gestructureerde gegevens FAIR te maken (vindbaar, toegankelijk, interoperabel en herbruikbaar) door deep learning toe te passen, NLP-tabellen toe te voegen aan het OMOP-datamodel en deze te vullen met deep-learningmodellen. De voorgestelde aanpak wordt volledig op locatie uitgevoerd om te garanderen dat patiëntgegevens het ziekenhuis niet verlaten.</t>
  </si>
  <si>
    <t>Benchmarking van zorgprocessen en uitkomsten in GGZ</t>
  </si>
  <si>
    <t>En partageant des faits essentiels sur les patients, les processus de soins et les résultats, en utilisant des normes internationales telles que le FHIR, un tableau de bord a été créé pour permettre aux institutions de comparer leurs propres résultats avec ceux d'autres institutions dans un environnement sécurisé en ligne. Cette initiative vise à établir un "langage standard" pour les soins de santé mentale, à promouvoir une culture de données au sein des institutions participantes et à faciliter les discussions cliniques sur des résultats spécifiques. Ce tableau de bord pourrait donc être utile aux cliniciens dans leur pratique.</t>
  </si>
  <si>
    <t>Door het delen van belangrijke feiten over patiënten, zorgprocessen en uitkomsten, met behulp van internationale standaarden zoals FHIR, is een dashboard gecreëerd waarmee instellingen hun eigen uitkomsten kunnen vergelijken met die van andere instellingen in een beveiligde online omgeving. Dit initiatief heeft als doel een ‘standaardtaal’ voor geestelijke gezondheidszorg te creëren, een datacultuur binnen deelnemende instellingen te bevorderen en klinische discussies over specifieke uitkomsten te faciliteren. Dit dashboard kan daarom nuttig zijn voor clinici in hun praktijk.</t>
  </si>
  <si>
    <t xml:space="preserve">MOB-PSY </t>
  </si>
  <si>
    <t xml:space="preserve">L’objectif de ce projet est d’organiser la systématisation et la standardisation de la collecte des données des patients suivis par les équipes mobiles bruxelloises en santé mentale. Cela inclut la collecte de données liées aux profils démographiques, aux diagnostics, aux antécédents médicaux et aux soins prodigués.
Bien que certaines de ces données soient déjà transmises de manière anonymisée aux autorités compétentes, elles ne sont pas harmonisées. La mise en place d’une collecte standardisée repose sur les données structurées déjà enregistrées dans les dossiers patients informatisés des équipes mobiles, limitant ainsi l’effort nécessaire à son implémentation.
</t>
  </si>
  <si>
    <t>Het doel van dit project is het systematiseren en standaardiseren van het verzamelen van gegevens over patiënten die gevolgd worden door de Brusselse mobiele geestelijke gezondheidsteams. Dit omvat het verzamelen van gegevens met betrekking tot demografische profielen, diagnoses, medische voorgeschiedenis en verleende zorg.
Hoewel sommige van deze gegevens al anoniem worden doorgegeven aan de bevoegde instanties, zijn ze niet geharmoniseerd. De invoering van gestandaardiseerde gegevensverzameling is gebaseerd op de gestructureerde gegevens die al zijn vastgelegd in de geautomatiseerde patiëntendossiers van de mobiele teams, waardoor de inspanning die nodig is om dit in te voeren, beperkt is.</t>
  </si>
  <si>
    <t>iPSYcare</t>
  </si>
  <si>
    <t>Depuis 2019, cinq hôpitaux psychiatriques de la province d'Anvers collaborent avec l'Université d'Anvers pour améliorer les soins mentaux dans la région. Ils ont créé une chaire de santé mentale publique pour financer conjointement la recherche axée sur la pratique et ainsi répondre aux besoins des patients. L'objectif principal est de mettre en place une base de données centrale regroupant les données pseudonymisées des patients adultes des hôpitaux partenaires, qui seront ensuite mises en correspondance avec les normes FIHR/Snomed-CT. Les objectifs ultimes de ce projet sont d'analyser les soins prodigués en utilisant ces données, de cartographier les flux de patients dans la région et de développer un tableau de bord dynamique fournissant des informations aux acteurs des soins pour les aider dans leur prise de décision. Des approbations éthiques ont déjà été obtenues auprès des comités d'éthique des hôpitaux impliqués, ainsi qu'un aval du Comité de sécurité de l'information après une analyse par P95. Un logiciel de cryptage et une structure de base de données ont également été développés, et le service de cryptage eHealth agira en tant que tiers de confiance pour pseudonymiser les données.</t>
  </si>
  <si>
    <t>Sinds 2019 werken vijf psychiatrische ziekenhuizen in de provincie Antwerpen samen met de Universiteit Antwerpen om de geestelijke gezondheidszorg in de regio te verbeteren. Ze hebben een leerstoel voor publieke geestelijke gezondheidszorg opgericht om gezamenlijk praktijkgerichte onderzoeksprojecten te financieren en zo beter in te spelen op de behoeften van patiënten.  
Het belangrijkste doel is het opzetten van een centrale database met gepseudonimiseerde gegevens van volwassen patiënten uit de partnerziekenhuizen, die vervolgens worden afgestemd op de FIHR/SNOMED-CT-normen. De uiteindelijke doelstellingen van dit project zijn het analyseren van de verleende zorg met behulp van deze gegevens, het in kaart brengen van patiëntstromen in de regio en het ontwikkelen van een dynamisch dashboard dat zorgverleners voorziet van relevante informatie om hen te ondersteunen bij besluitvorming.  
De ethische goedkeuringen zijn al verkregen van de ethische commissies van de betrokken ziekenhuizen, evenals een goedkeuring van het Comité voor Informatiebeveiliging na een analyse door P95. Daarnaast zijn een encryptiesoftware en een database-infrastructuur ontwikkeld, en zal de eHealth-encryptiedienst optreden als een vertrouwenspartner voor het pseudonimiseren van de gegevens.</t>
  </si>
  <si>
    <t>Future Proof EPD</t>
  </si>
  <si>
    <t>Ce projet a pour objectif de guider les hôpitaux de l'asbl Oeuvres des Frères de la Charité et de l'asbl Asster et Organisation Frères de la Charité dans leur transformation commune vers l'échange facile et rapide de données de patients à partir de leur dossier patient électronique conformément à la norme FHIR et avec des ensembles de données codées Snomed CT. Cette transformation vise à optimiser les structures existantes dans le dossier de santé électronique en un système flexible pouvant être utilisé dans différents environnements d'information médicale. Les avantages attendus de cette transformation sont, d'une part, l'utilisation des données pour la prise de décisions en matière de soins et pour garantir la qualité et la sécurité des soins. D'autre part, il permettra l'utilisation des données à des fins politiques et/ou de recherche, soutenant ainsi une politique d'échange et de comparaison des connaissances entre les 11 hôpitaux impliqués. Enfin, ce projet vise également à développer une méthodologie pour accélérer l'adoption de normes internationales de partage des données et rendre les dossiers médicaux plus FAIR (trouvables, accessibles, interopérables et réutilisables).</t>
  </si>
  <si>
    <t>Het doel van dit project is om de ziekenhuizen van de vzw Oeuvres des Frères de la Charité en de vzw Asster et Organisation Frères de la Charité te begeleiden in hun gezamenlijke transformatie naar een eenvoudige en snelle uitwisseling van patiëntgegevens uit hun elektronisch patiëntendossier volgens de FHIR-standaard en met Snomed CT-gecodeerde datasets. Het doel van deze transformatie is om de bestaande structuren van het elektronisch patiëntendossier te optimaliseren tot een flexibel systeem dat gebruikt kan worden in verschillende medische informatieomgevingen. De verwachte voordelen van deze transformatie zijn enerzijds het gebruik van gegevens voor de besluitvorming in de gezondheidszorg en om de kwaliteit en veiligheid van de zorg te garanderen. Ten tweede zullen de gegevens gebruikt kunnen worden voor beleids- en/of onderzoeksdoeleinden, waardoor een beleid van kennisuitwisseling en -vergelijking tussen de 11 betrokken ziekenhuizen ondersteund wordt. Tot slot heeft dit project ook als doel een methodologie te ontwikkelen om de adoptie van internationale standaarden voor het delen van gegevens te versnellen en medische dossiers meer FAIR (vindbaar, toegankelijk, interoperabel en herbruikbaar) te maken.</t>
  </si>
  <si>
    <t xml:space="preserve">Project </t>
  </si>
  <si>
    <t>Summary</t>
  </si>
  <si>
    <t>009</t>
  </si>
  <si>
    <t>BE_Patient_Problemlist</t>
  </si>
  <si>
    <t>Het datacapabilities project BEPL (BE Patient Problemlist) werkt aan een gestandaardiseerde uitwisseling van gestructureerde en Snomed CT gecodeerde probleemlijsten tussen ziekenhuizen.  Een centrale component hierin is een ViewerEditor om probleemlijsten te kunnen bekijken en consolideren. 
Dit innovatieproject BEPL-HA (BE Patient Problemlist - Huisartsen) is een extensie op het BEPL project, waarbij we ook het pad effenen voor de uitwisseling van gestandaardaardiseerde gestructurereerde en Snomed CT gecodeerde probleemlijsten met de eerste lijn.   
Hiertoe voorziet het project in een use case (die vooral ingaat op inhoudelijke zaken en praktische richtlijnen voor gebruik), een visietekst (met mogelijke implementatiescenario's en bijhorende technische vereisten, taken en governance), optimalisatie van Snomed CT terminologie resources, een demo-omgeving (om de usecase en visietekst te illusteren en om aan te geven waar nog terkortkomingen zitten die verdere realisatie en opschaling in de weg staan). Verder voorzien we opleiding, documentatie over ervaringen en lessons-learned, technisch cookbook, en aandacht voor kwalitatieve registratie in het Elektronisch Medisch Dossier (EMD) van de huisartsen (benchmark).</t>
  </si>
  <si>
    <t>012</t>
  </si>
  <si>
    <t>TOTEM</t>
  </si>
  <si>
    <t>Doelstellingen:	
Minstens 3 uitgewerkte geïntegreerde transmurale zorgpaden voor chirurgische patiënt (incl. monitoringwijze en escalatieprotocollen) met integrale beschrijving van alle componenten binnen het zorgpad volgens welbepaalde methodologie (Telemedicine Program Design Canvas)
Implementatie van een digitaal platform met integratie van de resultaten uit diverse monitoring tools /-wijzes in de verschillende actoren hun EPD. 
Opleveren van digitale klinische dashboards met (a) gestructureerde data-uitwisseling (b) smart triage (c) vanuit elk dossier bereikbaar (bv via SSO). Geaccepteerde proof of proces met minstens contextintegratie in epd's en waar mogelijk volledige integratie.
Dashboard met data over outcome, beleving en kostenaspecten, schaalbaar en bruikbaar voor verdere gezondheidseconomische evaluatie.</t>
  </si>
  <si>
    <t>017</t>
  </si>
  <si>
    <t>Hybride_zorgpad_diabetes</t>
  </si>
  <si>
    <t>Met dit project streven we naar efficiëntie- en effectiviteitswinsten bij de opvolging van diabetespatiënten door gebruik te maken van real-time data en just-in-time care. Patiënten meten zelf hun waarden met een slimme meter die geconnecteerd is met het telemonitoringsplatform. De zorgcentrale volgt 24/7 de data realtime op en schakelt de juiste zorgverlener in op het juiste moment. Gegevensdeling tussen verschillende zorgactoren zorgt voor een multidisciplinaire aanpak en betere communicatie naar de patiënt. Levensstijlinterventies versterken levensstijlaanpassingen, verminderen complicaties en medische kosten. Interventies op afstand zijn korter en worden positief beoordeeld door patiënten, waardoor een diabeteseducator 150% meer patiënten kan begeleiden in vergelijking met het huidige zorgpad.</t>
  </si>
  <si>
    <t>043</t>
  </si>
  <si>
    <t>ENOrtho</t>
  </si>
  <si>
    <t xml:space="preserve">Le projet ENortho représente une initiative visant à améliorer les mesures de qualité et l’efficience des soins autour de procédures chirurgicales, et de préparer le virage ambulatoire par un outil de triage automatisé basé sur l’IA, et d’une intégration forte de la première ligne. Cette initiative se fonde sur trois piliers principaux : l'utilisation des Patient-Reported Outcome Measures (PROMs) et questionnaires de screening pour évaluer et améliorer la qualité des soins, la digitalisation et l'agrégation des données pour une efficacité opérationnelle accrue via un outil d’IA, et la mise en place d'un parcours numérique engageant, personnalisé et incluant la première ligne de soins. 
Les bénéfices sont
- pour les patients : Amélioration de la qualité des soins, du suivi médical à domicile et de la satisfaction grâce à des parcours personnalisés et à une meilleure implication dans le processus de soins
- pour les professionnels de la santé : réduction de la charge administrative et accès facilité à des données pertinentes pour une prise de décision éclairée. Réalisation facilitée de bilans réguliers et à visée d'auto-évaluation et de mise à jour des protocoles
- pour le système de santé: amélioration de l'efficacité opérationnelle, meilleure gestion des ressources et des capacités hospitalières
_______________NL Versie
Het ENortho-project is een initiatief gericht op het verbeteren van de kwaliteitsmetingen en de efficiëntie van zorg rondom chirurgische ingrepen, en het voorbereiden van de overstap naar poliklinische zorg door middel van een geautomatiseerd triagesysteem op basis van AI, met een sterke integratie van de eerstelijnszorg. Dit initiatief is gebaseerd op drie hoofdprincipes:
-  het gebruik van Patient-Reported Outcome Measures (PROM's) en screeningsvragenlijsten om de kwaliteit van zorg te evalueren en te verbeteren, 
- digitalisering en aggregatie van gegevens voor verhoogde operationele efficiëntie via een AI-tool, 
- en de implementatie van een digitaal traject dat betrokken, gepersonaliseerd is en de eerstelijnszorg omvat.
De voordelen zijn:
voor de patiënten: Verbetering van de zorgkwaliteit, medische opvolging thuis en tevredenheid dankzij gepersonaliseerde trajecten en een betere betrokkenheid bij het zorgproces.
voor de zorgprofessionals: Vermindering van administratieve belasting en gemakkelijker toegang tot relevante gegevens voor weloverwogen besluitvorming. Vergemakkelijkte uitvoering van regelmatige beoordelingen met het oog op zelfevaluatie en bijwerking van protocollen.
voor het gezondheidssysteem: Verbetering van de operationele efficiëntie, beter beheer van de middelen en ziekenhuiscapaciteit.
</t>
  </si>
  <si>
    <t>057</t>
  </si>
  <si>
    <t>HEARTwise</t>
  </si>
  <si>
    <t>Doelstellingen:
1. Klinische luik: Het verbeteren van het monitoren van patiënten via NEWS met semi-continue metingen met behulp van een wearable zowel binnen als buiten het ziekenhuis (volgens afspraken SWO ziekenhuizen) 
2. Dataluik: Uitvoeren van geavanceerde data-analyse en ontwikkeling van een Machine Learning (ML) model (volgens afspraken SWO ziekenhuizen) op database van historisch verzamelde NEWS en bijkomende informatie zoals diagnostische gegevens, om inzichten te verzamelen en invloeden die (1) sneller de achteruitgang van de patiënt voorspellen en (2) inzichten geven in mogelijke opties om stabiele patiënten eerder te ontslaan, mits de patiënten verder worden gemonitord vanuit de thuisomgeving.
3. Communicatie en integratieluik: Integratie van de noodzakelijke systemen zodat datadoorstroming van NEWS-metingen vlot geïntegreerd kunnen worden met (1) de patiëntenapplicatie en (2) het klinisch dashboard (volgens afspraken SWO ziekenhuizen). Daarnaast wordt ook het patiëntenplatform vormgegeven en geïntegreerd met het EPD (volgens afspraken SWO ziekenhuizen).</t>
  </si>
  <si>
    <t>067</t>
  </si>
  <si>
    <t>PROZA</t>
  </si>
  <si>
    <t>Osteoporose is een aandoening waarbij de dichtheid en kwaliteit van het bot verminderen, wat resulteert in verhoogd risico op fracturen. Doordat de klachten van osteoporose zich slechts gradueel voordoen en doordat die symptomen door verschillende disciplines en specialisten worden behandeld, is er een gevaar van late detectie en bijgevolg onderbehandeling. Dit kan gevolgen hebben voor de patiënten (o.a. chronische pijn, fracturen en verlies aan levenskwaliteit) en bijgevolg ook voor de druk en kosten voor de volksgezondheid. In verschillende ziekenhuizen loopt er al een project waarbij patiënten met bepaalde risicoprofielen gescreend worden op osteoporose. Deze screening verloopt echter manueel en is heel arbeidsintensief. Voor patiënten met een lange medische geschiedenis, is een volledige manuele screening vaak ondoenbaar. Bovendien kunnen naast de medische data uit het ziekenhuisdossier ook andere bronnen (bv. data uit de eerstelijnszorg) en de voorgeschiedenis van de patiënt waardevolle informatie bevatten. Dergelijke data is vaak ongestructureerd en bijgevolg nog moeilijker en tijdrovender om manueel te screenen.</t>
  </si>
  <si>
    <t>099</t>
  </si>
  <si>
    <t>Patiëntvriendelijke_brief</t>
  </si>
  <si>
    <t>Inzet generative AI om NL-talige raadpleging en hospitalisatieverslagen te vertalen op maat van de patiënt en deze te vertalen in het Frans en het Engels. Deze beschikbaar stellen via eHealth en patiënten portaal net zoals de originele verslagen.</t>
  </si>
  <si>
    <t>102</t>
  </si>
  <si>
    <t>ERAS@Home</t>
  </si>
  <si>
    <t>Doelstellingen:
•	Faciliteren netwerk voor geïntegreerde en gepersonaliseerde multidisciplinaire pre- en postoperatieve zorg van patiënten in hun thuissituatie
•	binnen samenwerkingsmodel voor medische en paramedische professionals over de grenzen van de eerstelijns- en tweedelijnszorg heen (transmuraal netwerkzorgpad)
•	Twee specifiek ontwikkelde pilots aan beide zijden van het chirurgische spectrum: colectomieën en hemorrhoïdectomieën.
Eén van de basisvoorwaarden voor succes is een efficiënt en gebruiksvriendelijk ondersteunende communicatie(tool) en dataplatform dat dit netwerkmodel en deze intensieve follow-up van patiënten faciliteert.
Zo’n digitale innovatie vertaalt zich in: 
•	Een zorgbehandeling waarin registratie, monitoring en proactieve zorg gebeuren via intelligente digitale tools, vlot intgreerbaar met bestaande EPD’s. 
•	De ontwikkeling van een specifieke tool voor de patiënt in de thuisomgeving functionerend als een digitale assistent
•	Een shift van de klassieke intramuros zorgbehandling naar een hybride model waarbij de digitale afdeling aan belang wint (cfr hospital of the future als hoogtechnolgische hub).
•	Het onderzoeken van op AI-gebaseerde beslissingssystemen met het oog op risicobeheersing van postoperatieve infecties. Dit onderdeel draagt bij aan het verhogen van de zorgbehandeling in de thuisomegving van de patiënt.</t>
  </si>
  <si>
    <t>Pediatric_Asthmaa_Patient_Journey</t>
  </si>
  <si>
    <t xml:space="preserve">Objectief: 
-	Integratie van relevante gezondheidszorggegevens over de betrokken zorglijnen heen (0de, 1ste, 2de, 3de lijn), voor zorg voor kinderen (5-18 jaar) met Non Communicable Diseases (NCD) waarbij matig tot ernstig astma als prototype wordt vooropgesteld, dat op termijn kan uitgebreid en opgeschaald worden naar alle chronische aandoeningen bij kinderen. 
-	Een systematisering en standaardisatie organiseren van de uitwisseling en hergebruik van gegevens (reuse of data- OMOP mapping), ter verhoging van de integratie van zorg voor kinderen. 
-	Relevante klinische data worden gecapteerd vanuit verschillende bronnen, namelijk medische dossiersystemen, digital health tools en een mobiele applicatie, die zullen geraadpleegd kunnen worden door de betrokken zorgverleners op een hiervoor ontwikkeld telemonitoringsplatform. 
Het project bestaat uit verschillende onderdelen: 
-	Inhoudelijke set-up: 
1.	Inhoudelijke content applicatie (educatie, persoonlijk actieplan)
2.	Definiëren van uit te wisselen relevante gezondheidszorggegevens (overview data) via EPD, BT devices, e-form naar een TM platform
3.	Opzet klinische studie 
-	Technische set-up: 
1.	Bouw mobiele applicatie 
2.	Opzet uitwisseling via API’s en XML
3.	Bouw referentieset OMOP
4.	Mapping OMOP
5.	Bouw telemonitoringsplatform
-	Meaningful use: 
o	Klinisch luik: studie (RCT): disease outcome, self-efficacy, self-management, compliance/treatment adherence, quality of life
o	Economisch luik:
	Healthcare utilization
	Time-Driven Activity-based costing </t>
  </si>
  <si>
    <t>126</t>
  </si>
  <si>
    <t>Thuishospitalisatie_digitale_EEUW</t>
  </si>
  <si>
    <t>Digitalisering van de zorgpaden rond OPAT (thuistoediening van antibiotica) en onco@home (thuistoediening van antitumorale therapie). Waarbij communicatie (symptomen, observaties) van de eerstelijn/patiënt naar het ziekenhuis mogelijk wordt. Deze communicatie dient zo gestandardiseerd en interoperabel mogelijk te zijn. Dit wil zeggen via standaarden zoals SNOMED, LOINC, FHIR én EPD/EVD/leverancier onafhankelijk.</t>
  </si>
  <si>
    <t>243</t>
  </si>
  <si>
    <t xml:space="preserve">Afstemming-en-differentiatie-van-zorgaanbod </t>
  </si>
  <si>
    <t>With this project, we aim to take a leading role in the digitalization of mental healthcare. Our goal is not only to support logistical processes through digital technology, as is already the case in many organizations. We strive to integrate innovative technology into the core activities of psychiatric and psychological departments, where traditional care services are clinically relevantly and evidence-based combined with online screening, process and outcome monitoring, and self-help. By routinely collecting and analyzing significant care indicators - combined with the expertise of healthcare providers and the experiences of care recipients - we contribute to the sustainable integration of an evidence-informed approach in mental healthcare.</t>
  </si>
  <si>
    <t>254</t>
  </si>
  <si>
    <t>WoundCap</t>
  </si>
  <si>
    <t>Le projet WoundCap ambitionne de révolutionner le suivi des plaies en Belgique en intégrant des technologies de pointe mises en place en partenariat avec l’entreprise Dermatoo. Au cœur de cette initiative se trouve l'implémentation d'une application mobile digitale et de modules d'intelligence artificielle (IA) spécifiquement conçus pour le suivi des plaies. La technologie développée par Dermatoo, associée à l'intelligence artificielle, offrira aux soignants des outils avancés pour le diagnostic, le suivi et la gestion des plaies. Les modules d'IA, en particulier, permettront d'analyser les données des plaies pour fournir des recommandations de traitement personnalisées, contribuant à une guérison plus rapide et à une réduction des risques de complications. Notre projet entend non seulement améliorer la qualité des soins apportés aux patients souffrant de plaies en Belgique mais aussi renforcer la collaboration et la communication entre les différents acteurs du réseau de soins. En exploitant les capacités de l'application mobile digitale et des modules d'IA de Dermatoo, nous aspirons à établir un nouveau standard dans le suivi et la gestion des plaies, bénéfique tant pour les patients que pour les professionnels de santé. L'enjeu principal est de rendre cette technologie interopérable, permettant ainsi une connexion fluide entre tous les acteurs du réseau de soins. Cela inclut une intégration complète avec les Dossiers Patients Informatisés (DPI), le Réseau Santé Wallon (RSW), et les institutions de premières lignes telles que les services à domicile (SàD), les maisons de repos et de soins (MRS), ainsi que les médecins généralistes. En facilitant cette interopérabilité, le projet vise à créer un écosystème de soins connecté, où les informations sur les plaies peuvent être partagées et consultées en temps réel par tous les professionnels concernés. Cette approche centralisée permettra une prise en charge plus cohérente et efficace des patients, améliorant ainsi les résultats des traitements tout en optimisant les parcours de soins grâce à une prise en charge décentralisée.
-------------
Het WoundCap-project heeft de ambitie om de wondverzorging in België te revolutioneren door geavanceerde technologieën te integreren in samenwerking met het bedrijf Dermatoo. Het hart van dit initiatief is de implementatie van een digitale mobiele applicatie en kunstmatige intelligentie (AI) modules die specifiek zijn ontworpen voor het volgen van wonden. De technologie ontwikkeld door Dermatoo, in combinatie met kunstmatige intelligentie, zal zorgverleners geavanceerde tools bieden voor het diagnosticeren, volgen en beheren van wonden. De AI-modules zullen met name de gegevens van wonden analyseren om gepersonaliseerde behandelingsaanbevelingen te bieden, wat bijdraagt aan een snellere genezing en een vermindering van het risico op complicaties. Ons project heeft niet alleen als doel de kwaliteit van de zorg voor patiënten met wonden in België te verbeteren, maar ook de samenwerking en communicatie tussen de verschillende actoren in het zorgnetwerk te versterken. Door gebruik te maken van de mogelijkheden van de digitale mobiele applicatie en de AI-modules van Dermatoo, streven we ernaar een nieuwe standaard te zetten in het volgen en beheren van wonden, ten gunste van zowel patiënten als zorgprofessionals. De belangrijkste uitdaging is om deze technologie interoperabel te maken, zodat een vlotte verbinding tussen alle actoren in het zorgnetwerk mogelijk is. Dit omvat een volledige integratie met het Elektronisch Patiënten Dossier (EPD), het Waals Gezondheidsnetwerk (RSW), en instellingen voor eerstelijnszorg zoals thuiszorgdiensten (SàD), rust- en verzorgingstehuizen (MRS) en huisartsen. Door deze interoperabiliteit te vergemakkelijken, beoogt het project het creëren van een verbonden zorgecosysteem, waarin informatie over wonden in realtime kan worden gedeeld en geraadpleegd door alle betrokken professionals. Deze gecentraliseerde benadering zal zorgen voor een consistentere en efficiëntere zorg voor patiënten, waardoor de behandelresultaten worden verbeterd en de zorgtrajecten worden geoptimaliseerd dankzij een gedecentraliseerde zorgverlening.</t>
  </si>
  <si>
    <t>300</t>
  </si>
  <si>
    <t>STETHOSCOOP</t>
  </si>
  <si>
    <t>Het Stethoscoop project (Stop sepsis door middel van thuismonitoring &amp; coöperatie') heeft als doel de opbouw van een centraal medisch centrum voor thuismonitoring en -zorg voor patiënten met een acute infectie die risico vertonen op de ontwikkeling van sepsis. Hierbij worden patiënten nauwgezet opgevolgd in hun thuisomgeving via draagbare telemonitoringsapparatuur en gebruik van een smartphone applicatie. Door patiënten (semi-) continu op te volgen in hun thuisomgeving hoopt dit project onnodige heraanmeldingen op spoed of bij de huisarts te beperken. Anderzijds, bij klinische achteruitgang van de patiënt, draagt de thuisopvolging bij aan een vroegtijdige detectie wat kan bijdragen aan een lagere sepsis-gerelateerde mortaliteit en morbiditeit.
Patiënten zullen thuis opgevolgd worden aan de hand van draagbare meetapparatuur en een smartphone applicatie die het mogelijk maken de early warning score te meten en evalueren binnen een thuissetting. Voor de opvolging van de data staat de opbouw en installatie van een 24/7 beschikbaar zorgteam gepland. Vervolgens zullen de verkregen data gebruikt worden voor de ontwikkeling van machine learning algoritmes die kunnen bijdragen aan efficiënte en vroegtijdige alarmering. Daarnaast zal er digitale educatie rond sepsis ontwikkeld worden voor de verschillende zorglijnen alsook integratiemogelijkheden tussen verschillende zorgsystemen geëvalueerd worden. Met dit piloot project proberen we finaal te werken naar een blue print voor een best practices rapport dat als aanzet gebruikt kan worden voor de uitrol van een nationaal zorgplan voor de thuisopvolging van patiënten met risico op de ontwikkeling van sepsis.</t>
  </si>
  <si>
    <t>322</t>
  </si>
  <si>
    <t>Digitale_coördinatie</t>
  </si>
  <si>
    <t xml:space="preserve">De doelstelling van het project is het deels structureren en coderen informatie in de probleemlijst (PL), die medische antecedenen, uitgevoerde behandelingen en procedures bevat gestructureerd in FHIR
mee te geven. Op die manier ontvangt het ziekenhuis samen met de verwijsbrief de reeds gecodeerde voorgeschiedenis van de patiënt en kan die dan overnemen in het eigen dossier. Omgekeerd zal het
ziekenhuis tijdens het verblijf de eigen probleemlijst aanvullen en deze dan ook in FHIR gecodeerd en gestructureerd terugsturen naar de aanvrager zodat deze (indien gewenst) de nieuw toegevoegde codes
kan overnemen in zijn dossier.
Dit verbetert de probleemlijst (PL) aan beide kanten, want ieder kan codes overnemen van de andere partij en zo wordt de lijst steeds rijker. Het FHIR bericht wordt net zoals de ongestructureerde info via de eHealthBox verzonden.
We voorzien in het project een PL consolidator waarbij als er een PL ontvangen wordt van een anderepartij,
• we aangeven welke codes nog niet voorkomen in de eigen PL,
• of deze eventueel verfijningen zijn van codes in de eigen PL (bv we hadden zelf "infarct"
en krijgen "septum infarct met linker bundeltak blok" binnen, dan willen we liever de
fijnere code bewaren)
• of de codes algemener zijn (dan willen we onze eigen codes misschien niet overschrijven)
Daarbij moet de ontvangende arts bij nieuwe codes ook beslissen of deze andere codes die hij had overschrijven: bv ik had "Crohn" en krijg terug na onderzoek "Colitis Ulcerosa". Dan moet de ontvangen code de bestaande code vervangen, ...
Dezelfde tactiek kan gebruikt worden als gelijk welke twee zorgverleners communiceren: men geeft aan elkaar door wat men gestructureerd heeft en men verrijkt zo elkaars probleemlijst (PL).
Het project gaat uit van de pragmatische insteek dat men kan mee surfen op bestaande communicatiekanalen die het eHealth-platform aanbiedt (nl. eHealthBox) en dat men deels kan
structureren en coderen. Ook behoudt elke zorgverlener de vrijheid om de diagnose- of behandelingscode te aanvaarden of niet (als deze bv niet akkoord is met de voorgestelde diagnose).
Men zal niet ingrijpen in de verantwoordelijkheid van de dossiervoering, enkel het faciliteren van de structurering en de efficiëntie van de opbouw ervan.
Dit project heeft de volgende SMART doelstellingen:
Specifiek: we beperken ons in dit project enkel tot het verbeteren van het uitwisselen van de probleemlijst (voorgeschiedenis, diagnose, procedures), we coderen in SNOMED-CT en we structuren
volgens het overeenkomstige BE FHIR profile (wat overeenkomt met hetgeen dat in de andere data capabilities zal gebruikt worden).
Meetbaar
o Kwantitatief: we mikken op een target om van de verstuurde probleemlijsten minimaal 10% gecodeerd uit te wisselen en te laten consolideren
o Kwantitatief: het aantal keer de consolidator automatisch heeft kunnen consolideren (geen interactie van de zorgverlener nodig)
o Kwantitatief: het aantal keer er gebruikersinteractie nodig was om te consolideren (wel interactie van de zorgverlener nodig)
o Kwalitatief: we plannen ook een bevraging te doen bij de eindgebruikers (zowel in eerste als in tweede lijn) om kwalitatief te valideren of zij een verbetering op het terrein zien
Acceptabel: gegeven dat er toch een probleemlijst zal moeten opgebouwd worden volgens de BMUC criteria zal dit weinig extra werk meebrengen voor de zorgverlener omdat de bestaande PL alleen moet
verstuurd worden. Vermits er geen verplichting is om de diagnoses te aanvaarden (de mogelijkheid wordt gegeven) grijpen we dus niet in op de dossiervoering en wordt de zorgverlener niets
opgedrongen dat hij niet wenst. Hij blijft verantwoordelijk voor zijn eigen dossierinhoud.
Relevant: gestructureerde en gecodeerde informatie is noodzakelijk in primary use voor CDS (clinical decision support), alerting, reminders, workflow management, reflex testing triggers,... Secondary use is nagenoeg niet mogelijk op ongestructureerde data.
Tijdgebonden: Het project kan uitgevoerd worden binnen het voorziene tijdsbestek.
</t>
  </si>
  <si>
    <t>Gestructureerde_uitwisseling</t>
  </si>
  <si>
    <t>Met dit innovatieproject streven we naar de implementatie van een uniform en gestandaardiseerd volledig digitaal communicatie- en coördinatieplatform voor thuishospitalisatie OPAT en thuishospitalisatie antitumorale middelen. Het platform dient geïntegreerd te zijn in en een connectiviteit te voorzien tussen de verschillende bestaande EPDs van de betrokken actoren, als zijnde de ziekenhuizen, huisartsen en thuisverpleegkundigen. Data omtrent organisatie en opvolging van de zorg moet op deze manier raadpleegbaar zijn vanuit de verschillende EPDs door huisarts, thuisverpleegkundige alsook de mutidisciplinaire OPAT en oncologische zorgteams (specialist, infectioloog/oncoloog, ziekenhuisapotheker) die de eindverantwoordelijkheid draagt voor de thuishospitalisatie. Verder dient de data ook raadpleegbaar te zijn voor de patiënt. 
Dit communicatie- en coördinatieplatform kan later ook ingezet worden bij andere vormen van thuishospitalisatie, en draagt dus bij tot effectieve en veilige 'verambulantisering' van de zorg.</t>
  </si>
  <si>
    <t>371</t>
  </si>
  <si>
    <t>AIDALOS</t>
  </si>
  <si>
    <t xml:space="preserve">General: An aneurysm is an abnormal, focal dilation of an artery in the brain. An aneurysm in itself is not harmful to health, but the natural evolution is difficult to predict: a tear or rupture of a UIA can occur in the short term or the UIA can remain unchanged for several years. Rupture of a UIA causes a sudden cerebral hemorrhage (subarachnoid hemorrhage, SAH), which is disastrous for the patient: the patient dies in approximately 40% of cases; in approximately 40% there is a permanent neurological damage (cognitive and/or motor deficit) whereby these patients often remain dependent on others; only 20% of patients have little or no residual injury after treatment, with most being able to return to work. Some types of brain aneurysms can be detected on a CT scan without contrast enhancement (NECT: noncontrast enhanced computer tomography) of the brain, a routine examination performed for multiple indications, most commonly related to screening for abnormalities, stroke and trauma. As the radiologist reviews the CT scan in light of the clinical information, the subtle findings of an unruptured aneurysm as an incidental finding may be overlooked. Timely detection of a UIA (i.e. before rupture has occurred) can be life-saving, as successful treatments are available in tertiary and university hospitals (surgical clipping by neurosurgeon, endovascular treatments by interventional radiologist). 
In the future situation, an opportunistic screening will be developed for the Belgian population whereby all NECT performed in background will be analyzed by this AI software for the presence of UIA. 
The practical elaboration will include, among other things (B4 agreement):
- that anonymization/pseudonymization of the NECT data in hospitals was automated
- that the platform or combination of gateway systems has been set up to send the NECT data from the hospitals to the location of the AI ​​software (cloud/server)
- that NECT data positive for UIA are systematically submitted for a second opinion to a dedicated board-certified radiologist
- that NECT data, which are also considered “true positive” by this radiologist, are communicated back to the patient's treating physician (or the referring physician for the CT examination). If it turns out that the UIA is not known to this patient, after approval by this doctor, the patient will be contacted with a proposal for additional examination for a definitive diagnosis (CTangiography, MR Angiography or DSA).
- that if an unknown UIA is confirmed, the patient is then referred to a tertiary hospital with a specialized team for treatment of UIA.
- that the collected NECT data is used to improve or adapt the AI ​​software on a consistent basis.
Objectives: For the specific objectives (SMART), I refer to the B4-agreement signed between FOD and ZOL.
Project summary: The general AIDALOS project has been devided in three seperate studies i.e. AIDALOS-I, AIDALOS-II and AIDALOS-III: 
- AIDALOS-I: The existing AI algorithm of the Proof-of-Concept (PoC) (2023) will be further trained and evaluated using larger amounts of NECT data from ZOL. This is a monocentric retrospective study design. 
- AIDALOS-II: The existing AI algorithm of the PoC and AIDALOS-I will be further trained and evaluated using NECT data from ZOL, AZ Groeninge and UZ Brussel implementing data heterogenity. This is a multicentric retrospective study design. 
- AIDALOS-III: The existing AI algorithm trained in AIDALOS-I and AIDALOS-II will be validated and verified as opportunistic screening tool to verify clinical implementation. This will be a multicentric prospective study design.
The project has been divided in these 3 studies after discussions with all participating sites and the company Robovision, based on decrease ethical concerns and increase feasibility and quality. 
Based on the subsivision of AIDALOS in AIDALOS-I, AIDALOS-II and AIDALOS-III, the milestones (and applicable due dates) in the following tabs are sometimes devided based on the applicable study for that milestone.
In this document we will refer to AIDALOS-I, AIDALOS-II and AIDALOS-III as AID-I, AID-II and AID-III respectively. </t>
  </si>
  <si>
    <t>Silverline (Silverconnect)</t>
  </si>
  <si>
    <t xml:space="preserve">Goede transmurale samenwerking verbetert de continuïteit van zorg, wat zorgt voor betere kwaliteit, lagere kosten en geoptimaliseerde zorgprocessen. Met behulp van AI willen we dit duurzaam verankeren om zo de efficiëntie en effectiviteit te verhogen in geval van een urgente zorgvraag van een bewoner in een WZC. Dit willen we doen aan de hand van het ontwikkelen, testen en implementeren van een AI gebaseerde differentiële diagnostische tool om triage van geriatrische patiënten in WZC's te realiseren en geïntegreerde zorg (ziekenhuis/spoedgevallen/WZC/CRA/huisarts/…) te realiseren. We werken hiervoor heel erg nauw samen met onze partner in het project Bingli. 
</t>
  </si>
  <si>
    <t>396</t>
  </si>
  <si>
    <t>SEPSIS_Connect</t>
  </si>
  <si>
    <t>Het voorgestelde project heeft tot doel SEPSIS aan te pakken met een holistische en multidisciplinaire benadering die zorgverleners ondersteunt en nieuwe technologieën integreert om de detectie en behandeling van SEPSIS te verbeteren. 
Concreet zal S.E.P.S.I.S. Connect de 4 grote uitdagingen aanpakken die nodig zijn om SEPSIS sneller te detecteren bij patienten in  België:
-	1. Het uitrusten van patiënten met biosensoren met als doel om hen meer accuraat en continu op te volgen m.b.t. het risico op sepsis.
-	2. De ontwikkeling van slimme alarmering, specifiek ontwikkeld op maat van de sepsis case, met als doel om het verpleegkundig personeel te ondersteunen bij de grootschalige opvolging van patiënten. 
-	3. Het opzetten van een veilige en betrouwbare connectiviteit oplossing die ziekenhuizen in staat stelt om zowel in het ziekenhuis als daarbuiten patiënten continue op te volgen.
-	4. Betere bewustwording van SEPSIS bij huisartsen en thuisverpleegkundigen om zodoende patiënten sneller te laten aanmelden en/of opvolgen via de ontwikkelde monitoring oplossing.
-	
Merk op dat de technologische oplossing die zal ontwikkeld worden binnen dit project ook breder toepasbaar en makkelijk transponeerbaar is richting andere pathologieen en andere thuis monitoring use cases. In de volgende paragrafen lichten we deze technologische doelstellingen verder toe.
1.	Biosensoren voor de detectie van SEPSIS
Door het implementeren van geavanceerde biosensoren binnen het Belgische zorgsysteem, kunnen patiënten zowel binnen als buiten ziekenhuizen continu worden gemonitord. Deze biosensoren bieden real-time metingen van cruciale vitale parameters die nodig zijn voor het berekenen van de early warning score (EWS), waardoor zorgverleners snel kunnen ingrijpen bij tekenen van verslechtering van de gezondheidstoestand. Deze benadering zorgt voor een verschuiving van reactieve naar proactieve zorg, waarbij potentiële SEPSIS-gevallen vroegtijdig worden geïdentificeerd en behandeld.
Binnen ziekenhuizen zullen patiënten met griepsymptomen of een verhoogd risico op SEPSIS worden uitgerust met biosensoren, die continu vitale parameters meten en communiceren met een specifiek "Rapid Response Team". Dit team zal verantwoordelijk zijn voor het monitoren van de patiënt en het snel ingrijpen bij tekenen van verslechtering.
Buiten ziekenhuizen zal er nauwe samenwerking zijn met huisartsen en thuisverpleegkundigen om bewustzijn over SEPSIS te vergroten en preventieve screening uit te voeren bij patiënten met griepsymptomen die zich aanmelden op de spoedgevallen. Indien de patiënt op de spoedgevallen naar huis wordt gestuurd, worden ze eerst voorzien van biosensoren voor verdere continue monitoring gedurende een bepaalde periode in de thuissituatie. Hierdoor wordt vroegtijdige detectie van SEPSIS of het ontwikkelen van een SEPSIS beeld mogelijk .
Een uitgebreide evaluatie van verschillende biosensoren zal worden uitgevoerd om aanbevelingen te doen voor de meest effectieve en betrouwbare apparaten die kunnen worden geïmplementeerd in de bredere gezondheidszorgsector van België voor het opvolgen van vitale parameters.
2.	Slimme alarmering voor het opvolgen van SEPSIS op grote schaal
Het project omvat ook de ontwikkeling van een slim alarmsysteem op basis van AI, dat zorgverleners tijdig waarschuwt bij veranderingen in vitale parameters die kunnen wijzen op een mogelijke SEPSIS-episode. Bestaande open-source-software-bibliotheken voor het verwerken van tijdsreeksen, ontwikkeld door imec (bv. Tsflex &amp; Series Distance Matrix), zullen verder geoptimaliseerd worden voor het ontdekken van zowel afwijkingen als patronen in de vitale parameter data, namelijk de tijdsreeksen opgemeten door de biosensoren. `Verklaarbare AI` (Explainable AI) technieken zullen ontwikkeld worden om deze patronen en afwijkingen te verwerken en te correleren met de gezondheidstoestand van de patiënt en indien nodig, een alarm te genereren. Hierbij zal ook de persoonlijke context, bv. Informatie in het EPD over medische geschiedenis en demografie, in rekening gebracht worden om de afwijkingen te beoordelen en dus het verzorgingsteam niet te overbelasten met onnodige alarmen. De verklaarbare AI zorgt ervoor dat de alarmen interpreteerbaar en begrijpbaar zijn voor de zorgverleners, m.a.w. er zal duidelijk weergegeven waarom de AI het nuttig vond om een alarm te genereren en hoe dit gecorreleerd is richting de gezondheidstoestand van de patiënt. De ontwikkelde algoritmes zullen beschikbaar gesteld worden als open source bibliotheken zodat ze wijd gebruikt kunnen worden voor het analyseren van medische tijdsreeksen. 
3.	Een betrouwbare monitoring oplossing voor thuis.Proximus werkt binnen dit project mee aan een Smart Node die de ziekenhuizen in staat zal stellen om betrouwbaar, veilig en op een eenvoudige manier patiënten op te volgen in hun thuisomgeving. De Smart Node is een plug-en play 4G/5G femtocell-oplossing, zeg maar een soort van acces point voor mobiele connectiviteit, die een mobiel netwerk creëert door deze aan te sluiten op een internetverbinding thuis, zowel op Proximus-lijnen, alsook deze van coax-aanbieders (vb Telenet &amp; Orange). –
-- een constante verbinding
Daar de biosensoren geconnecteerd worden met 5G is een optimale dekking van levensbelang. Woningen worden echter steeds beter geïsoleerd waardoor het mobiele signaal niet langer binnendringt in de woning van de patiënten. Uiterst betrouwbare mobiele dekking binnenshuis is essentieel om nieuwe innovatieve diensten te ondersteunen. Vlekkeloze mobiele connectiviteit binnenshuis is van fundamenteel belang om deze oplossing tot een succes te brengen. Met de  femtocell-oplossing kan het netwerk effectief verdicht worden en een betere dekking leveren in kleine indooromgevingen zoals bij patiënten thuis. 
De oplossing biedt een 5G-oplossing, inclusief ondersteuning van IoT-connectiviteit. Het zelf-optimaliserende netwerk met plug-and-play-implementatie zorgt voor een onmiddellijke dekkingsboost door gebruik te maken van het bestaande LAN-netwerk.
De Smart Node zorgt er dus voor dat men een nieuw 5G signaal zal Creëren binnenshuis bij de patiënt.
-- ingebouwde beveiliging voor iedereen
Mobiele 5G netwerken bieden ingebouwde netwerkbeveiliging die hackbestendig is. Dit garandeert veilige communicatie voor alle gebruikers, zonder dat van hen wordt verwacht dat ze beveiligingshulpmiddelen en -processen kennen, begrijpen, installeren en configureren. Met de toenemende awareness rond security, zorgt een persoonlijk mobiel netwerk voor eerlijke beveiliging voor iedereen, vooral in omgevingen met veel verkeer binnenshuis. Femtocellen zorgen ervoor dat patiënten altijd ondersteund worden door robuuste, veilige netwerken.
 --eenvoudige plug-and-play 
De zelf uit te rollen plug-and-play radio-units zijn eenvoudig te verzenden en kunnen zelfs afgelegen consumenten met het grootste gemak worden bezorgd, zonder dat er een bezoek ter plaatse nodig is. De uitrol- en optimalisatiekosten van het netwerk worden ook aanzienlijk verlaagd met de SON-functies (Self-Organizing Network).</t>
  </si>
  <si>
    <t>SmartCare</t>
  </si>
  <si>
    <t>Het doel van dit project is om smart glasses op een multidisciplinaire manier te introduceren in de zorg, met als doel een uniforme aanpak te ontwikkelen die zowel in de eerste als tweede lijn kan worden toegepast door zorgprofessionals. De smart glasses zullen zorgen voor een handsfree werkomgeving en zullen manuele registraties in het elektronisch dossier verminderen. 
Dit wordt bereikt door de smart glasses op een snelle en veilige manier te laten verbinden met mobiele data, waardoor zorgprofessionals te allen tijde in contact kunnen staan met collega's, leidinggevenden, artsen, en de zorginstelling zelf. 
De smart glasses zijn uitgerust met een scherm voor het oog en camera's op de headset zelf. Op het scherm wordt het patiëntendossier weergegeven, en door middel van stemcommando's kunnen zorgprofessionals gemakkelijk door het dossier navigeren of collega's bellen. Dankzij de koppeling van de smart glasses met de verschillende leveranciers van elektronische patiëntendossiers (EPD’s) kan de bril niet enkel het patiëntendossier weergeven, maar ook snel en eenvoudig eerder gemaakte beelden van wonden tonen. Verder kan door de koppeling, aan de hand van de camera op de bril ook direct beeldmateriaal zoals deze van wonden worden toegevoegd aan het dossier. De combinatie van het weergeven van het patiëntendossier op de bril, het tonen van voorgaande beelden van wonden en het direct toevoegen van actueel beeldmateriaal aan het dossier maakt de smart glasses een krachtig hulpmiddel voor het opvolgen van de evolutie van patiënten.  
Naast het bellen van collega’s kan er via de bril nog meer en sterker ingezet worden op videoconsultaties. In het dossier zorgt dit net voor een sterke samenwerking tussen eerste en tweede lijn. Via de introductie van smart glasses wensen we patiënten, die thuis verzorgd worden door thuisverpleegkundigen (1e lijn), te behoeden voor een fysieke verplaatsing naar het ziekenhuis (2e lijn) voor een opvolg consultatie. In plaats hiervan wordt deze verplaatsing voorzien door een 1e lijn partner. Dankzij de smart glasses kan een thuisverpleegkundige een videoverbinding opzetten met de behandelende arts. Dit wordt ook vooraf zo met de arts gepland.  
Om de uitdaging van het registreren van parameters aan te pakken, worden de smart glasses ook uitgerust met AI-software van IntelliProve. Deze software kan de hartslag, ademhaling, bloeddruk en zuurstofsaturatie bepalen, die vervolgens direct worden toegevoegd aan het patiëntendossier. Voor het bepalen van de early warning score (EWS) ontbreekt momenteel de temperatuur, maar deze wordt geïntegreerd door de thermocamera die reeds aanwezig is op de bril. Het project streeft ernaar om vendor-neutraal te zijn, zodat andere ziekenhuizen ook kunnen profiteren. Daarom wordt ook de optie tot het verbinden van een bluetooth-thermometer meegenomen. Hierdoor kunnen zorgprofessionals contactloos werken, wat de efficiëntie verhoogt en het infectierisico verlaagt. Daarnaast wordt de patiënt meer betrokken bij de zorg, aangezien het contact tussen patiënt en zorgprofessional behouden blijft. Doordat de waarden automatisch geïntegreerd worden in het EPD, is er geen ruimte meer voor variatie en buikgevoel. Dit resulteert in betere validatie van de waarden en een betere medische diagnose voor de patiënt. Parameters zoals ademhalingsfrequentie worden nu meestal vanuit een buikgevoel toegevoegd, maar door de koppeling met IntelliProve zal deze waarde nu correct in het patiënten dossier toegevoegd worden.  
Tot slot kan de gehele integratie ook ingezet worden voor spoedinterventies, waardoor er meer context kan worden geboden vanuit de situatie naar het ziekenhuis.  Het tijdsinterval zonder medische expertise wordt zo verkort. Dit zou ook een optimalere begeleiding van ASO urgentiegeneeskundigen tijdens hun prehospitaal opleiding mogelijk maken, met een maximaal efficiënte inzet van de supervisor.  
Finaal zit er naast transmurale zorg ook een grote patiënt empowerment in het dossier. Bij pathologiën waarbij foto’s van de patiënt opgeslagen worden in het EPD, zal de patiënt via zijn EPD toegang, ook toegang hebben tot deze beelden. Zo kan de patiënt zelf ook de registraties volgen en deze gebruiken voor zijn contact met bijvoorbeeld de huisarts/ thuisverpleegkundige of apotheker. Daarnaast weet de patiënt ook steeds wat de zorgprofessional uitvoert doordat deze spreekt tegen de bril. Spraaktechnologie is echter een nieuwe technologie. Hierdoor weten we als zorgactoren nog niet hoe bepaalde patiëntendoelgroepen, zoals dementerende patiënten, hierop zullen reageren. Hier zijn we ons als consortium van bewust. Daarom zullen we ook gebruikerstesten en ervaringen verzamelen over hoe patiënten hierop reageren en hoe je hier als zorgprofessional het best mee om kunt gaan. Deze informatie zal dan ook gedeeld worden met de hele groep van zorgactoren in België.</t>
  </si>
  <si>
    <t>397</t>
  </si>
  <si>
    <t>Telemonitoringsvoorschrift</t>
  </si>
  <si>
    <t>The Telemonitoring Prescription project addresses the lack of standardized telemonitoring integration in Belgium’s healthcare system. It aims to create a scalable, interoperable framework that connects hospitals and telemonitoring providers via a unified data integration hub. This solution reduces hospital workload, enhances remote patient monitoring, and supports the shift to value-based, continuous care.
By implementing three core modules—an Input Module (seamless EHR integration), an Authentication Module (secure data access), and an Output Module (standardized telemonitoring data exchange)—the project ensures efficient, secure, and structured telemonitoring. It enables scalable remote monitoring solutions, improving patient care while minimizing redundant IT work.
The project targets integration across at least 10 hospitals, 4 EHR vendors, and 4 telemonitoring providers, with validation on 1,000+ patients. It aligns with Belgian and European healthcare standards (FHIR, HL7) and lays the foundation for future expansion and policy adoption. By standardizing telemonitoring, this initiative will enhance healthcare efficiency, accessibility, and long-term sustainability.</t>
  </si>
  <si>
    <t>534</t>
  </si>
  <si>
    <t>Patient_at_home</t>
  </si>
  <si>
    <t>Maximiser le potentiel de l’hospitalisation et du suivi du patient à domicile et digitaliser le processus dans nos territoires respectifs, dans le but d’améliorer la continuité des soins des patients et de répondre à l’objectif étatique de potentialiser la réduction de durée des séjours.  
Le consortium veut développer et intégrer au moins une plateforme digitale où le patient hospitalisé ou suivi à domicile reçoit le même niveau de qualité dans sa prise charge. Grâce à cette plateforme, il sera encadré humainement et digitalement par une équipe multidisciplinaire (intra &amp; extra muros). L'information sera interopérable avec l'ensemble de l'écosystème eHealth afin d'alimenter un carnet de vie du patient. Cette plateforme sera le lien continu entre le patient et ses partenaires de santé et contribuera à lui apporter une expérience patient positive. L'interopérabilité avec certains DPIs fera également l'objet d'un pilote durant le projet afin d'assurer la communication entre la plateforme et les systèmes de l'hôpital. 
La solution proposera par ailleurs la possibilité de téléconsultation, ce qui contribuera à rendre plus accessible la consultation et à assurer la qualité du suivi au domicile. Un module d’Intelligence Artificielle sera testé afin de professionnaliser encore le suivi, tant du point de vue du patient que du point de vue du personnel de soins, en travaillant, par exemple, sur base des seuils d’alerte par pathologies. 
---------------------
Maximaliseren van het potentieel van ziekenhuisopname en opvolging van patiënten thuis en digitalisering van het proces in onze respectieve regio's, met als doel de continuïteit van de zorg voor patiënten te verbeteren en te voldoen aan het overheidsdoel om de verblijfsduur te verkorten.
Het consortium wil minstens één digitaal platform ontwikkelen en integreren, waar de gepatienteerde in het ziekenhuis of de patiënt die thuis wordt opgevolgd, hetzelfde kwaliteitsniveau in de zorg ontvangt. Dankzij dit platform zal de patiënt zowel menselijk als digitaal worden begeleid door een multidisciplinair team (binnen en buiten het ziekenhuis). De informatie zal interoperabel zijn met het gehele eHealth-ecosysteem om een digitaal levensdossier van de patiënt bij te houden. Dit platform zal de continue schakel zijn tussen de patiënt en zijn zorgpartners en zal bijdragen aan het bieden van een positieve patiëntervaring. De interoperabiliteit met bepaalde elektronische patiëntendossiers (EPD) zal tijdens het project ook als pilot worden getest om de communicatie tussen het platform en de ziekenhuisinformatiesystemen te waarborgen.
De oplossing zal ook de mogelijkheid van teleconsultatie aanbieden, wat zal bijdragen aan het verbeteren van de toegankelijkheid van de consultatie en het waarborgen van de kwaliteit van de opvolging thuis. Een module van kunstmatige intelligentie zal worden getest om de opvolging verder te professionaliseren, zowel vanuit het perspectief van de patiënt als van het zorgpersoneel, door bijvoorbeeld te werken met drempelwaarden voor waarschuwingen per pathologie.</t>
  </si>
  <si>
    <t>670</t>
  </si>
  <si>
    <t>FRAIT</t>
  </si>
  <si>
    <t>Het primaire doel van dit project is het maximaal benutten van een reeds bestaande Large Language Model (LLM) tool binnen de medische sector. Dit wordt verwezenlijkt door de ontwikkeling van een geavanceerde prompt engineering tool, die - rekening houdend met de unieke behoeften van elke zorgverlener - op maat gemaakte en accurate prompts genereert. Deze tool zal voor elke specifieke situatie of vraag van diverse zorgprofessionals de meest geschikte en effectieve prompt samenstellen. De nadruk ligt hierbij niet enkel op de technische integratie van de tool, maar ook op de operationele, ethische en praktische facetten van het toepassen van dit geavanceerde systeem binnen de dynamische en complexe context van een ziekenhuisomgeving. 
Een cruciaal onderdeel van dit proces is het ontwikkelen van een validatiesysteem voor continue monitoring en evaluatie van de prompts en de daarbij horende output van de LLM-tool. Dit systeem stelt ons in staat om de betrouwbaarheid en veiligheid van het gebruik van de LLM-tool te waarborgen. 
Deze integrale benadering streeft naar een doeltreffende en ethisch verantwoorde uitrol van de LLM-tool, met als doel een handleiding te ontwikkelen. Deze handleiding dient om andere ziekenhuizen en zorginstellingen te begeleiden en hen van cruciale best practices en geleerde lessen te voorzien, zodat zij vergelijkbare tools succesvol kunnen toepassen. De verspreiding van deze kennis zal plaatsvinden via workshops aan het einde van het project. Hierdoor levert het project een essentiële bijdrage aan de verbetering van de patiëntenzorg en de ondersteuning van zorgprofessionals.</t>
  </si>
  <si>
    <t>707</t>
  </si>
  <si>
    <t>Validation-pharmaceutique-augmentée</t>
  </si>
  <si>
    <t xml:space="preserve">Les technologies de l’information actuelles permettent le développement de nouveaux outils logiciels d’aide à l’analyse et la validation pharmaceutique des prescriptions médicales ; le projet “Validation Pharmaceutique Augmentée” prévoit le déploiement et l’usage d’un outil logiciel innovant, disposant, entre autres, d’un module d’édition de règles, de capacités d’intelligence artificielle pour « augmenter » les activités d’analyse et de validation du pharmacien avec l’expertise de ses confrères et d’une plateforme d’échange et de partage de règles avec les institutions connectées. </t>
  </si>
  <si>
    <t>Souffle_nouveau</t>
  </si>
  <si>
    <t xml:space="preserve">The project aims to implement a longitudinal monitoring tool and assess its usability for patients with chronic respiratory failure (e.g. COPD, asthma, fibrosis). This tool enables decentralized patient follow-up and a more streamlined integration of patient needs into their care pathways. Through this multicentric and multidisciplinary clinical collaboration, we design, develop and integrate the functionalities offered by this innovative approach in daily patients management. </t>
  </si>
  <si>
    <t>943</t>
  </si>
  <si>
    <t>Ondersteuning-diagnostiek-neuropsychiatrische-aandoeningen</t>
  </si>
  <si>
    <t>In dit project beogen we het diagnostisch proces voor clinicus en patiënt te vereenvoudigen door een applicatie aan te reiken waarmee een clinicus de gegevens van een patiënt ziekenhuisoverschrijdend kan opvragen om alle relevante informatie, en hiaten daarin, te kunnen overschouwen. Tegelijk bieden we de clinicus binnen dezelfde applicatie een AI gedreven decision support tool aan, gebaseerd op modellen die getraind en geëvalueerd zijn op basis van de relevante patientengegevens van de voorbije 15 jaar, waarbij de versnippering van gegevens die de patiënten doorheen de levensloop hebben gegenereerd, opgeheven wordt. Deze decision support tool informeert niet enkel de diagnosestelling van een specifieke case, maar kan ook informatie geven over de meerwaarde van bijkomende invasieve tests in het diagnostisch proces. Op deze manier kan het diagnostisch proces zowel voor clinicus als patiënt overzichtelijker worden, een bredere basis van informatie in rekening nemen  en redundantie in onderzoeken en tests vermijden. De ontwikkeling van deze applicatie berust op een data deling die technisch en inhoudelijk zoveel mogelijk opgezet wordt conform internationale standaarden (FHIR, SNOMED-CT), en een veilige verwerking van de gegevens garandeert van bron tot clinicus. Op deze manier kan de tool schaalbaar zijn naar andere ziekenhuizen en de methodologie de basis vormen voor andere toepassingen.</t>
  </si>
  <si>
    <t>959</t>
  </si>
  <si>
    <t>Aanmeldplatform</t>
  </si>
  <si>
    <t>In de Geestelijke Gezondheidszorg is het vinden van een geschikt behandelaanbod, zowel voor zorgvragers als voor (medische, juridische en andere) doorverwijzers, een tijdrovende en complexe taak. Het vereist kennis van het regionale en soms supraregionale aanbod en het zoeken naar de juiste contactpersonen en aanmeldsystemen bij elke zorgaanbieder. Na het uiteindelijk bereiken van de juiste persoon moet de volledige zorgvraag uitgebreid worden beschreven, zodat de organisatie kan beoordelen of zij passende hulp kunnen bieden. Na registratie in één systeem moet de zorgvrager of doorverwijzer dit hele proces herhalen bij elke andere zorgaanbieder in de gewenste regio. Het herhaaldelijk aanmelden en bijhorende afwijzingen werken heel demotiverend voor zowel de zorgvrager als doorverwijzer. (AS IS)
Het project voorziet een aanmeldplatform waar doorverwijzers en zorgvragers één keer kunnen aanmelden bij alle deelnemende organisaties die een GGZ-behandelaanbod hebben. Via inzet van LLMs worden zorgvraag en zorgaanbod aan elkaar gekoppeld waarna GGZ-zorgverstrekkers met minimale inspanningen de best passende zorg kunnen aanbieden.</t>
  </si>
  <si>
    <t>SCOPE
Reporting         Post - Meeting
15/02</t>
  </si>
  <si>
    <t>TIMING
Reporting             Post - Meeting
15/02</t>
  </si>
  <si>
    <t>Budget 
Post - Meeting</t>
  </si>
  <si>
    <t>HR
Reporting             Post - Meeting
15/02</t>
  </si>
  <si>
    <t>ICT
Reporting                     Post - Meeting
15/02</t>
  </si>
  <si>
    <t>STAKEHOLDERS
Reporting                     Post - Meeting
15/02</t>
  </si>
  <si>
    <t>ISSUES /
expert council
SteerCo</t>
  </si>
  <si>
    <t>Coordinator hospital</t>
  </si>
  <si>
    <t xml:space="preserve">Contract </t>
  </si>
  <si>
    <t>SPOC + Backup SPOC</t>
  </si>
  <si>
    <t>Language</t>
  </si>
  <si>
    <t>Type Hop</t>
  </si>
  <si>
    <t>ZH maakt deel uit van Netwerk</t>
  </si>
  <si>
    <t>Hôpitaux participants/ Deelnemende ziekenhuizen</t>
  </si>
  <si>
    <t>Montant demandé TVA inclus</t>
  </si>
  <si>
    <t>Toegekend budget</t>
  </si>
  <si>
    <t>Primair Thema</t>
  </si>
  <si>
    <t>Cluster</t>
  </si>
  <si>
    <t>15/04/2025 FAGG</t>
  </si>
  <si>
    <t>ZIEKENHUISNETWERK ANTWERPEN</t>
  </si>
  <si>
    <t>OK</t>
  </si>
  <si>
    <t>Filip Veldeman
Reinhart Maertens</t>
  </si>
  <si>
    <t>NL</t>
  </si>
  <si>
    <t>AZ</t>
  </si>
  <si>
    <t>ZAS</t>
  </si>
  <si>
    <t>GZA; UZ Antwerpen; AZ Maria Middelares ; AZ Glorieux ; Academisch Centrum voor Huisartsengeneeskunde Leuven; Centrum voor Huisartsengeneeskunde Antwerpen</t>
  </si>
  <si>
    <t>Geïntegreerde Zorg</t>
  </si>
  <si>
    <t>Digitale platformen voor (generieke) gegevens uitwisseling 0-1-2° lijn</t>
  </si>
  <si>
    <t>15/04/2025 NexusHealth</t>
  </si>
  <si>
    <t>AZ Sint-Blasius</t>
  </si>
  <si>
    <t>Filip Dumez
Tom Imberechts</t>
  </si>
  <si>
    <t>Mira</t>
  </si>
  <si>
    <t>VITAZ, Jan Yperman ziekenhuis, Jessa ziekenhuis, AZ Oostende, AZ Sint Maarten</t>
  </si>
  <si>
    <t>Transmurale zorgpaden chirurgie</t>
  </si>
  <si>
    <t>AZ Maria Middelares</t>
  </si>
  <si>
    <t>Van Der Vekens  Nicky
Amandine Brewaeys</t>
  </si>
  <si>
    <t>E17 Netwerk</t>
  </si>
  <si>
    <t xml:space="preserve">AZ Sint-Vincentius Deinze, AZ Groeninge, RZ Tienen, AZ Sint-Blasius
Uitbreidingsgroep: AZ Delta en VITAZ					</t>
  </si>
  <si>
    <t>Werklast zorgpersoneel</t>
  </si>
  <si>
    <t>Clinique Saint Pierre Ottignies</t>
  </si>
  <si>
    <t xml:space="preserve">Dr. Philippe Creyf
Julien Lebleu </t>
  </si>
  <si>
    <t>FR</t>
  </si>
  <si>
    <t>H.uni</t>
  </si>
  <si>
    <t>Cliniques de l'Europe, CHRSM site Meuse, Clinique Saint Luc Bouge, Chirec Braine l'Alleud, Hopital Jolimont</t>
  </si>
  <si>
    <t>Jan Yperman Ziekenhuis - Ieper</t>
  </si>
  <si>
    <t>Castelein, Birgit
Caroline Gheysen</t>
  </si>
  <si>
    <t>TRIaz</t>
  </si>
  <si>
    <t>AZ West - Veurne, Sint-Andries Ziekenhuis - Tielt, UZA - Antwerpen</t>
  </si>
  <si>
    <t xml:space="preserve">AZ Oostende </t>
  </si>
  <si>
    <t>Brecht Dekeyser 
Chloë Finet</t>
  </si>
  <si>
    <t>KOM</t>
  </si>
  <si>
    <r>
      <t>AZ Klina, OLV</t>
    </r>
    <r>
      <rPr>
        <sz val="11"/>
        <rFont val="Aptos Narrow"/>
        <family val="2"/>
      </rPr>
      <t xml:space="preserve"> Aalst, AZ Delta, </t>
    </r>
    <r>
      <rPr>
        <sz val="11"/>
        <color rgb="FF000000"/>
        <rFont val="Aptos Narrow"/>
        <family val="2"/>
      </rPr>
      <t>AZ Oostende Damiaan, AZ Oostende Serruys</t>
    </r>
  </si>
  <si>
    <t>????</t>
  </si>
  <si>
    <t>GZA</t>
  </si>
  <si>
    <t>Karlien Vyvey
Reinhart Maertens</t>
  </si>
  <si>
    <t>Ziekenhuis Netwerk Antwerpen, AZ Maria Middelares Gent, UZ Brussel;</t>
  </si>
  <si>
    <t>AZ Mol</t>
  </si>
  <si>
    <t>Dhr Dirk van de Poel
Maarten Michiels</t>
  </si>
  <si>
    <t>Ziekenhuisnetwerk Kempen</t>
  </si>
  <si>
    <t>Jessa Ziekenhuis Hasselt, AZ Turnhout, AZ Herentals, AZ Geel, AZ Mol</t>
  </si>
  <si>
    <t>AZ Delta</t>
  </si>
  <si>
    <t>Karin Decaestecker Baes Margot
Koenraad Veys</t>
  </si>
  <si>
    <t xml:space="preserve">AZ Delta Roeselare,  Sint-Andries Tielt, UZ Gent, Jessa Hasselt </t>
  </si>
  <si>
    <t>Asthma</t>
  </si>
  <si>
    <t>Offerte NH</t>
  </si>
  <si>
    <t>03/04 Steerco</t>
  </si>
  <si>
    <t>OLV Aalst</t>
  </si>
  <si>
    <t>Mona Bove
Frank Staelens</t>
  </si>
  <si>
    <t>CUROZ</t>
  </si>
  <si>
    <t>ASZ Aalst, AZ Maria Middelares Gent, AZ Sint-Vincentius Deinze, Jan Yperman Ziekenhuis</t>
  </si>
  <si>
    <t>Thuishospitalisatie</t>
  </si>
  <si>
    <t>Jessa Ziekenhuis</t>
  </si>
  <si>
    <t>Nele Stinckens 
Egwin Avau</t>
  </si>
  <si>
    <t>Andreaz</t>
  </si>
  <si>
    <t>Sint-Franciscusziekenhuis Heusden-Zolder, PZ Onzelievevrouw Brugge</t>
  </si>
  <si>
    <t>CHU Helora site Kennedy</t>
  </si>
  <si>
    <t>Erik Staels
Philippe Caby</t>
  </si>
  <si>
    <t>Helora</t>
  </si>
  <si>
    <t>CHU HELORA Site Constantinople, Groupe CHC, CHP Chêne aux Haies</t>
  </si>
  <si>
    <t>AI</t>
  </si>
  <si>
    <t>UZA</t>
  </si>
  <si>
    <t xml:space="preserve">Eva Wauters </t>
  </si>
  <si>
    <t>UZ</t>
  </si>
  <si>
    <t>HELIX</t>
  </si>
  <si>
    <t>AZ Voorkempen, Hôpital Erasme (ULB), Ziekenhuis aan de Stroom (ZAS), Jan Yperman Ziekenhuis, St-Dimpna Geel, Vitaz, UZA</t>
  </si>
  <si>
    <t>Sepsis</t>
  </si>
  <si>
    <t>UZ Leuven</t>
  </si>
  <si>
    <t xml:space="preserve">Charlotte Quintens
Annabel Dompas 
Annemarie Coolbrandt 
</t>
  </si>
  <si>
    <t>Plexuz</t>
  </si>
  <si>
    <t>AZ Diest, RZ Tienen, Heilig Hart Ziekenhuis Leuven</t>
  </si>
  <si>
    <t xml:space="preserve">Pieter Vanautgaerden
Sofie Sergeant </t>
  </si>
  <si>
    <t>HH Tienen, Jessa Ziekenhuis</t>
  </si>
  <si>
    <t>Expert Council 15/04 FAGG</t>
  </si>
  <si>
    <t>ZOL</t>
  </si>
  <si>
    <t>Ilse Bouwman
Christophe Smeets</t>
  </si>
  <si>
    <t>Ziekenhuisnetwerk Noord-Oost Limburg Vzw</t>
  </si>
  <si>
    <t>Ziekenhuis Maas en Kempen, VUB, AZ Groeninge</t>
  </si>
  <si>
    <t>AZ Zeno</t>
  </si>
  <si>
    <t>De Clerck Stéphanie
Tel. nr.: (050 53) 41 45
Fabienne Sys</t>
  </si>
  <si>
    <t xml:space="preserve">AZ Maria Middelares, AZ Oostende						</t>
  </si>
  <si>
    <t>Green?</t>
  </si>
  <si>
    <t>AZ Groeninge</t>
  </si>
  <si>
    <t>Brian Desplinter
Caroline de Beukelaar</t>
  </si>
  <si>
    <t>Ziekenhuis Oost-Limburg en Sint-Jozefskliniek Izegem</t>
  </si>
  <si>
    <t>Lieselotte Vandeputte
Caroline De Beukelaar</t>
  </si>
  <si>
    <t>AZ Groeninge, AZ Maria Middelares, Jessa Ziekenhuis</t>
  </si>
  <si>
    <t>O.L.V. van Lourdes Ziekenhuis Waregem</t>
  </si>
  <si>
    <t>Joke Naessens (biteflies)
Noel Cierkens</t>
  </si>
  <si>
    <t>A.S.Z. Aalst - Geraardsbergen - Wetteren, AZ Delta, AZ Groeninge, AZ Jan Portaels, AZ Maria Middelares Gent, AZ Oostende, AZ Oudenaarde, AZ Sint-Jan, AZ Sint-Lucas Gent, AZ Sint-MaartenAZ Sint-Vincentius Deinze, AZ Turnhout, AZ Vesalius, AZ Voorkempen, AZ West, Centre hospitalier Jolimont-Lobbes, Centre hospitalier de Tubize - Nivelles, CHC Montlégia, CHR St. Joseph - Hôpital de Warquinies, CHU Ambroise ParéCHU Brugmann, CHU de Liège, Clinique Notre-Dame de Grâce, Cliniques de l'Europe, Cliniques universitaires Saint-Luc, GZA Ziekenhuizen, Heilig Hartziekenhuis Mol, Hôpital de la Citadelle, Hôpital Erasme, Institut Jules Bordet, Jan Yperman Ziekenhuis, Jessa Ziekenhuis, Noorderhart Mariaziekenhuis, O.L.V. Aalst - Asse - Ninove, O.L.V. van Lourdes Ziekenhuis Waregem, SFZ Sint-Franciscus Ziekenhuis, Sint-Trudo Ziekenhuis, Universitair Kinderziekenhuis Koningin Fabiola, UZ Antwerpen, UZ Brussel, UZ Gent, UZ Leuven, VITAZ, Ziekenhuis Geel, Ziekenhuis Imelda, Ziekenhuis Netwerk Antwerpen, Ziekenhuis Oost-Limburg</t>
  </si>
  <si>
    <t>Telemonitoring</t>
  </si>
  <si>
    <t>Centre Hospitalier de Wallonie Picarde – Site Notre-Dame</t>
  </si>
  <si>
    <t xml:space="preserve">Elodie Wannez
Kathaline Gillis + 32 69 331276
</t>
  </si>
  <si>
    <t>Centre Hospitalier De Wallonie Picarde
Centre Hospitalier De Mouscron
Centre Hospitalier Epicura
CHU UCL Namur
Crp "Les Marronniers"
Europaziekenhuizen - Cliniques De L'europe
Hopital Psychiatrique St.-Jean De Dieu</t>
  </si>
  <si>
    <t>UZ Gent</t>
  </si>
  <si>
    <t>Mathias Syx
Mieke Deschepper</t>
  </si>
  <si>
    <t>Ziekenhuisnetwerk Gent</t>
  </si>
  <si>
    <t>UZ Gent, AZ Sint Lucas Gent, AZ Oudenaarde</t>
  </si>
  <si>
    <t>CHU Liège</t>
  </si>
  <si>
    <t>RENSONNET Sophie
Roselyne Liénard
Sandrine Wustefeld</t>
  </si>
  <si>
    <t>Ellipse</t>
  </si>
  <si>
    <r>
      <t xml:space="preserve">Clinique André Renard, CHU Brugmann, </t>
    </r>
    <r>
      <rPr>
        <strike/>
        <sz val="11"/>
        <color theme="1"/>
        <rFont val="Aptos Narrow"/>
        <family val="2"/>
        <scheme val="minor"/>
      </rPr>
      <t>CHIREC</t>
    </r>
  </si>
  <si>
    <t>€ 784.000</t>
  </si>
  <si>
    <t>Prof Dr Julien Guiot
Benoit Ernst</t>
  </si>
  <si>
    <t xml:space="preserve">CHU Saint-Pierre, Cliniques Saint-Luc, IRIS Sud, ERASME,  centre de revalidation pulmonaire du CHU Ourthe-Amblève (OA) </t>
  </si>
  <si>
    <t>UPC KU Leuven</t>
  </si>
  <si>
    <t xml:space="preserve">François-Laurent De Winter
Wouter Voorspoels </t>
  </si>
  <si>
    <t>PZ</t>
  </si>
  <si>
    <t>UZ Leuven; Regionaal ziekenhuis Tienen; Alexianen Zorggroep Tienen</t>
  </si>
  <si>
    <t>eHealth - 18/03</t>
  </si>
  <si>
    <t>PZ Karus</t>
  </si>
  <si>
    <t>Jo Henderick
Gino Ameye</t>
  </si>
  <si>
    <t>Karus</t>
  </si>
  <si>
    <t>PC Gent-Sleidinghe, PC Sint-Hiëronymus &amp; Radar netwerk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</si>
</sst>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 #,##0;[Red][$€-2]\ #,##0"/>
    <numFmt numFmtId="165" formatCode="#,##0\ [$€-813];[Red]#,##0\ [$€-813]"/>
  </numFmts>
  <fonts count="17" x14ac:knownFonts="1">
    <font>
      <sz val="11"/>
      <color theme="1"/>
      <name val="Aptos Narrow"/>
      <family val="2"/>
      <scheme val="minor"/>
    </font>
    <font>
      <sz val="11"/>
      <color rgb="FFFF0000"/>
      <name val="Aptos Narrow"/>
      <family val="2"/>
      <scheme val="minor"/>
    </font>
    <font>
      <b/>
      <sz val="11"/>
      <color theme="1"/>
      <name val="Aptos Display"/>
      <family val="2"/>
      <scheme val="major"/>
    </font>
    <font>
      <b/>
      <sz val="11"/>
      <color theme="1"/>
      <name val="Aptos Narrow"/>
      <family val="2"/>
    </font>
    <font>
      <b/>
      <sz val="11"/>
      <color rgb="FF000000"/>
      <name val="Aptos Display"/>
      <family val="2"/>
      <scheme val="major"/>
    </font>
    <font>
      <sz val="11"/>
      <color rgb="FF000000"/>
      <name val="Calibri"/>
      <family val="2"/>
    </font>
    <font>
      <sz val="11"/>
      <color rgb="FF000000"/>
      <name val="Aptos Narrow"/>
      <family val="2"/>
      <scheme val="minor"/>
    </font>
    <font>
      <sz val="11"/>
      <color theme="1"/>
      <name val="Aptos Narrow"/>
      <family val="2"/>
    </font>
    <font>
      <sz val="11"/>
      <color rgb="FF242424"/>
      <name val="Aptos Narrow"/>
      <family val="2"/>
    </font>
    <font>
      <sz val="11"/>
      <color theme="1"/>
      <name val="Aptos Display"/>
      <family val="2"/>
      <scheme val="major"/>
    </font>
    <font>
      <sz val="11"/>
      <color rgb="FFFFFFFF"/>
      <name val="Aptos Narrow"/>
      <family val="2"/>
      <scheme val="minor"/>
    </font>
    <font>
      <sz val="11"/>
      <name val="Aptos Narrow"/>
      <family val="2"/>
      <scheme val="minor"/>
    </font>
    <font>
      <sz val="10"/>
      <color theme="1"/>
      <name val="Times New Roman"/>
      <family val="1"/>
      <charset val="1"/>
    </font>
    <font>
      <sz val="11"/>
      <color rgb="FF000000"/>
      <name val="Aptos Narrow"/>
      <family val="2"/>
    </font>
    <font>
      <sz val="11"/>
      <name val="Aptos Narrow"/>
      <family val="2"/>
    </font>
    <font>
      <sz val="11"/>
      <color theme="1"/>
      <name val="Calibri"/>
      <family val="2"/>
    </font>
    <font>
      <strike/>
      <sz val="11"/>
      <color theme="1"/>
      <name val="Aptos Narrow"/>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rgb="FFFFF2CC"/>
        <bgColor rgb="FF000000"/>
      </patternFill>
    </fill>
    <fill>
      <patternFill patternType="solid">
        <fgColor theme="4" tint="0.59999389629810485"/>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FFFFFF"/>
        <bgColor indexed="64"/>
      </patternFill>
    </fill>
    <fill>
      <patternFill patternType="solid">
        <fgColor rgb="FF92D050"/>
        <bgColor indexed="64"/>
      </patternFill>
    </fill>
    <fill>
      <patternFill patternType="solid">
        <fgColor rgb="FFFF0000"/>
        <bgColor indexed="64"/>
      </patternFill>
    </fill>
    <fill>
      <patternFill patternType="solid">
        <fgColor theme="7"/>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s>
  <cellStyleXfs count="1">
    <xf numFmtId="0" fontId="0" fillId="0" borderId="0"/>
  </cellStyleXfs>
  <cellXfs count="68">
    <xf numFmtId="0" fontId="0" fillId="0" borderId="0" xfId="0"/>
    <xf numFmtId="0" fontId="3" fillId="0" borderId="1" xfId="0" applyFont="1" applyBorder="1" applyAlignment="1">
      <alignment horizontal="center" vertical="top"/>
    </xf>
    <xf numFmtId="0" fontId="0" fillId="0" borderId="1" xfId="0" applyBorder="1" applyAlignment="1">
      <alignment vertical="top"/>
    </xf>
    <xf numFmtId="0" fontId="4" fillId="3" borderId="1" xfId="0" applyFont="1" applyFill="1" applyBorder="1" applyAlignment="1">
      <alignment horizontal="left" vertical="top" wrapText="1"/>
    </xf>
    <xf numFmtId="0" fontId="3" fillId="4" borderId="1" xfId="0" applyFont="1" applyFill="1" applyBorder="1" applyAlignment="1">
      <alignment horizontal="center" vertical="top"/>
    </xf>
    <xf numFmtId="0" fontId="3" fillId="5" borderId="1" xfId="0" applyFont="1" applyFill="1" applyBorder="1" applyAlignment="1">
      <alignment horizontal="center" vertical="top"/>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vertical="top" wrapText="1"/>
    </xf>
    <xf numFmtId="0" fontId="0" fillId="0" borderId="1" xfId="0" applyBorder="1" applyAlignment="1">
      <alignment vertical="top" wrapText="1"/>
    </xf>
    <xf numFmtId="0" fontId="8" fillId="0" borderId="1" xfId="0" applyFont="1" applyBorder="1" applyAlignment="1">
      <alignment vertical="top" wrapText="1"/>
    </xf>
    <xf numFmtId="0" fontId="8" fillId="0" borderId="1" xfId="0" quotePrefix="1" applyFont="1" applyBorder="1" applyAlignment="1">
      <alignment vertical="top" wrapText="1"/>
    </xf>
    <xf numFmtId="49" fontId="2" fillId="2" borderId="2"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49" fontId="0" fillId="0" borderId="2" xfId="0" applyNumberFormat="1" applyBorder="1" applyAlignment="1">
      <alignment horizontal="left" vertical="top" wrapText="1"/>
    </xf>
    <xf numFmtId="0" fontId="0" fillId="6" borderId="2" xfId="0" applyFill="1" applyBorder="1" applyAlignment="1">
      <alignment horizontal="left" vertical="top" wrapText="1"/>
    </xf>
    <xf numFmtId="0" fontId="0" fillId="0" borderId="1" xfId="0" applyBorder="1" applyAlignment="1">
      <alignment horizontal="left" vertical="top" wrapText="1"/>
    </xf>
    <xf numFmtId="0" fontId="8" fillId="7" borderId="0" xfId="0" applyFont="1" applyFill="1" applyAlignment="1">
      <alignment vertical="top" wrapText="1"/>
    </xf>
    <xf numFmtId="0" fontId="0" fillId="0" borderId="2" xfId="0" applyBorder="1" applyAlignment="1">
      <alignment horizontal="left" vertical="top" wrapText="1"/>
    </xf>
    <xf numFmtId="0" fontId="8" fillId="7" borderId="2" xfId="0" quotePrefix="1" applyFont="1" applyFill="1" applyBorder="1" applyAlignment="1">
      <alignment wrapText="1"/>
    </xf>
    <xf numFmtId="0" fontId="8" fillId="7" borderId="4" xfId="0" applyFont="1" applyFill="1" applyBorder="1" applyAlignment="1">
      <alignment vertical="top" wrapText="1"/>
    </xf>
    <xf numFmtId="49" fontId="6" fillId="0" borderId="2" xfId="0" applyNumberFormat="1" applyFont="1" applyBorder="1" applyAlignment="1">
      <alignment horizontal="left" vertical="top" wrapText="1"/>
    </xf>
    <xf numFmtId="0" fontId="2" fillId="2" borderId="7" xfId="0" applyFont="1" applyFill="1" applyBorder="1" applyAlignment="1">
      <alignment horizontal="left" vertical="top" wrapText="1"/>
    </xf>
    <xf numFmtId="14" fontId="2" fillId="2" borderId="2" xfId="0" applyNumberFormat="1" applyFont="1" applyFill="1" applyBorder="1" applyAlignment="1">
      <alignment horizontal="left" vertical="top" wrapText="1"/>
    </xf>
    <xf numFmtId="164" fontId="2" fillId="2" borderId="2" xfId="0" applyNumberFormat="1" applyFont="1" applyFill="1" applyBorder="1" applyAlignment="1">
      <alignment horizontal="right" vertical="top" wrapText="1"/>
    </xf>
    <xf numFmtId="0" fontId="9" fillId="0" borderId="2" xfId="0" applyFont="1" applyBorder="1" applyAlignment="1">
      <alignment horizontal="left" vertical="top" wrapText="1"/>
    </xf>
    <xf numFmtId="0" fontId="2" fillId="2" borderId="2" xfId="0" applyFont="1" applyFill="1" applyBorder="1" applyAlignment="1">
      <alignment horizontal="left" vertical="top"/>
    </xf>
    <xf numFmtId="0" fontId="0" fillId="8" borderId="10" xfId="0" applyFill="1" applyBorder="1" applyAlignment="1">
      <alignment horizontal="left" vertical="top" wrapText="1"/>
    </xf>
    <xf numFmtId="0" fontId="0" fillId="8" borderId="2" xfId="0" applyFill="1" applyBorder="1" applyAlignment="1">
      <alignment horizontal="left" vertical="top" wrapText="1"/>
    </xf>
    <xf numFmtId="16" fontId="10" fillId="9" borderId="2" xfId="0" applyNumberFormat="1" applyFont="1" applyFill="1" applyBorder="1" applyAlignment="1">
      <alignment horizontal="left" vertical="top" wrapText="1"/>
    </xf>
    <xf numFmtId="14" fontId="0" fillId="0" borderId="0" xfId="0" applyNumberFormat="1" applyAlignment="1">
      <alignment horizontal="left" vertical="top" wrapText="1"/>
    </xf>
    <xf numFmtId="0" fontId="0" fillId="0" borderId="2" xfId="0" applyBorder="1" applyAlignment="1">
      <alignment horizontal="left" vertical="top"/>
    </xf>
    <xf numFmtId="164" fontId="0" fillId="0" borderId="2" xfId="0" applyNumberFormat="1" applyBorder="1" applyAlignment="1">
      <alignment horizontal="right" vertical="top" wrapText="1"/>
    </xf>
    <xf numFmtId="0" fontId="1" fillId="0" borderId="2" xfId="0" applyFont="1" applyBorder="1" applyAlignment="1">
      <alignment horizontal="left" vertical="top" wrapText="1"/>
    </xf>
    <xf numFmtId="0" fontId="5" fillId="7" borderId="2" xfId="0" applyFont="1" applyFill="1" applyBorder="1" applyAlignment="1">
      <alignment vertical="top" wrapText="1"/>
    </xf>
    <xf numFmtId="0" fontId="0" fillId="10" borderId="10" xfId="0" applyFill="1" applyBorder="1" applyAlignment="1">
      <alignment horizontal="left" vertical="top" wrapText="1"/>
    </xf>
    <xf numFmtId="14" fontId="0" fillId="0" borderId="2" xfId="0" applyNumberFormat="1" applyBorder="1" applyAlignment="1">
      <alignment horizontal="left" vertical="top" wrapText="1"/>
    </xf>
    <xf numFmtId="0" fontId="5" fillId="7" borderId="2" xfId="0" applyFont="1" applyFill="1" applyBorder="1" applyAlignment="1">
      <alignment wrapText="1"/>
    </xf>
    <xf numFmtId="0" fontId="0" fillId="10" borderId="2" xfId="0" applyFill="1" applyBorder="1" applyAlignment="1">
      <alignment horizontal="left" vertical="top" wrapText="1"/>
    </xf>
    <xf numFmtId="0" fontId="0" fillId="0" borderId="10" xfId="0" applyBorder="1" applyAlignment="1">
      <alignment horizontal="left" vertical="top" wrapText="1"/>
    </xf>
    <xf numFmtId="14" fontId="11" fillId="0" borderId="2" xfId="0" applyNumberFormat="1" applyFont="1" applyBorder="1" applyAlignment="1">
      <alignment horizontal="left" vertical="top" wrapText="1"/>
    </xf>
    <xf numFmtId="0" fontId="12" fillId="7" borderId="2" xfId="0" applyFont="1" applyFill="1" applyBorder="1" applyAlignment="1">
      <alignment wrapText="1"/>
    </xf>
    <xf numFmtId="0" fontId="5" fillId="7" borderId="11" xfId="0" applyFont="1" applyFill="1" applyBorder="1" applyAlignment="1">
      <alignment wrapText="1"/>
    </xf>
    <xf numFmtId="0" fontId="13" fillId="0" borderId="2" xfId="0" applyFont="1" applyBorder="1" applyAlignment="1">
      <alignment vertical="top" wrapText="1"/>
    </xf>
    <xf numFmtId="164" fontId="13" fillId="0" borderId="2" xfId="0" applyNumberFormat="1" applyFont="1" applyBorder="1" applyAlignment="1">
      <alignment horizontal="right" vertical="top"/>
    </xf>
    <xf numFmtId="0" fontId="15" fillId="7" borderId="11" xfId="0" applyFont="1" applyFill="1" applyBorder="1" applyAlignment="1">
      <alignment wrapText="1"/>
    </xf>
    <xf numFmtId="0" fontId="0" fillId="8" borderId="2" xfId="0" applyFill="1" applyBorder="1" applyAlignment="1">
      <alignment horizontal="center" vertical="center" wrapText="1"/>
    </xf>
    <xf numFmtId="0" fontId="0" fillId="0" borderId="2" xfId="0" applyBorder="1" applyAlignment="1">
      <alignment horizontal="center" vertical="center" wrapText="1"/>
    </xf>
    <xf numFmtId="0" fontId="5" fillId="7" borderId="11" xfId="0" applyFont="1" applyFill="1" applyBorder="1" applyAlignment="1">
      <alignment vertical="top" wrapText="1"/>
    </xf>
    <xf numFmtId="0" fontId="12" fillId="7" borderId="11" xfId="0" applyFont="1" applyFill="1" applyBorder="1" applyAlignment="1">
      <alignment wrapText="1"/>
    </xf>
    <xf numFmtId="0" fontId="6" fillId="0" borderId="2" xfId="0" applyFont="1" applyBorder="1" applyAlignment="1">
      <alignment horizontal="left" vertical="top" wrapText="1"/>
    </xf>
    <xf numFmtId="14" fontId="6" fillId="0" borderId="2" xfId="0" applyNumberFormat="1" applyFont="1" applyBorder="1" applyAlignment="1">
      <alignment horizontal="left" vertical="top" wrapText="1"/>
    </xf>
    <xf numFmtId="0" fontId="6" fillId="0" borderId="0" xfId="0" applyFont="1" applyAlignment="1">
      <alignment horizontal="left" vertical="top" wrapText="1"/>
    </xf>
    <xf numFmtId="164" fontId="6" fillId="0" borderId="2" xfId="0" applyNumberFormat="1" applyFont="1" applyBorder="1" applyAlignment="1">
      <alignment horizontal="right" vertical="top" wrapText="1"/>
    </xf>
    <xf numFmtId="0" fontId="6" fillId="0" borderId="2" xfId="0" applyFont="1" applyBorder="1" applyAlignment="1">
      <alignment horizontal="left" vertical="top"/>
    </xf>
    <xf numFmtId="0" fontId="5" fillId="7" borderId="0" xfId="0" applyFont="1" applyFill="1" applyAlignment="1">
      <alignment wrapText="1"/>
    </xf>
    <xf numFmtId="0" fontId="10" fillId="9" borderId="2" xfId="0" applyFont="1" applyFill="1" applyBorder="1" applyAlignment="1">
      <alignment horizontal="left" vertical="top" wrapText="1"/>
    </xf>
    <xf numFmtId="0" fontId="12" fillId="7" borderId="0" xfId="0" applyFont="1" applyFill="1" applyAlignment="1">
      <alignment wrapText="1"/>
    </xf>
    <xf numFmtId="0" fontId="13" fillId="0" borderId="2" xfId="0" applyFont="1" applyBorder="1" applyAlignment="1">
      <alignment vertical="top"/>
    </xf>
    <xf numFmtId="165" fontId="0" fillId="0" borderId="2" xfId="0" applyNumberFormat="1" applyBorder="1" applyAlignment="1">
      <alignment horizontal="left" vertical="top" wrapText="1"/>
    </xf>
    <xf numFmtId="0" fontId="0" fillId="9" borderId="2" xfId="0" applyFill="1" applyBorder="1" applyAlignment="1">
      <alignment horizontal="left" vertical="top" wrapText="1"/>
    </xf>
    <xf numFmtId="0" fontId="2" fillId="2" borderId="1" xfId="0" applyFont="1" applyFill="1" applyBorder="1" applyAlignment="1">
      <alignment horizontal="center" vertical="top" wrapText="1"/>
    </xf>
    <xf numFmtId="0" fontId="2" fillId="2" borderId="5" xfId="0" applyFont="1" applyFill="1" applyBorder="1" applyAlignment="1">
      <alignment horizontal="left" vertical="top" wrapText="1"/>
    </xf>
    <xf numFmtId="0" fontId="0" fillId="0" borderId="6" xfId="0" applyBorder="1" applyAlignment="1">
      <alignment horizontal="left" vertical="top" wrapText="1"/>
    </xf>
    <xf numFmtId="0" fontId="2" fillId="2" borderId="8" xfId="0" applyFont="1" applyFill="1" applyBorder="1" applyAlignment="1">
      <alignment horizontal="left" vertical="top" wrapText="1"/>
    </xf>
    <xf numFmtId="0" fontId="0" fillId="0" borderId="9" xfId="0" applyBorder="1" applyAlignment="1">
      <alignment horizontal="left" vertical="top" wrapText="1"/>
    </xf>
    <xf numFmtId="0" fontId="2" fillId="2" borderId="3" xfId="0" applyFont="1" applyFill="1" applyBorder="1" applyAlignment="1">
      <alignment horizontal="left" vertical="top" wrapText="1"/>
    </xf>
  </cellXfs>
  <cellStyles count="1">
    <cellStyle name="Standaard"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4BD8D-2490-4CBA-BB17-F24338E46ECC}">
  <dimension ref="A1:D17"/>
  <sheetViews>
    <sheetView tabSelected="1" workbookViewId="0">
      <selection activeCell="D3" sqref="D3"/>
    </sheetView>
  </sheetViews>
  <sheetFormatPr defaultRowHeight="14.4" x14ac:dyDescent="0.3"/>
  <cols>
    <col min="2" max="2" width="27.88671875" customWidth="1"/>
    <col min="3" max="3" width="74.5546875" customWidth="1"/>
    <col min="4" max="4" width="74.77734375" bestFit="1" customWidth="1"/>
  </cols>
  <sheetData>
    <row r="1" spans="1:4" x14ac:dyDescent="0.3">
      <c r="A1" s="62" t="s">
        <v>0</v>
      </c>
      <c r="B1" s="62"/>
      <c r="C1" s="1"/>
      <c r="D1" s="2"/>
    </row>
    <row r="2" spans="1:4" x14ac:dyDescent="0.3">
      <c r="A2" s="3" t="s">
        <v>1</v>
      </c>
      <c r="B2" s="3" t="s">
        <v>0</v>
      </c>
      <c r="C2" s="4" t="s">
        <v>2</v>
      </c>
      <c r="D2" s="5" t="s">
        <v>3</v>
      </c>
    </row>
    <row r="3" spans="1:4" ht="403.2" x14ac:dyDescent="0.3">
      <c r="A3" s="6">
        <v>9</v>
      </c>
      <c r="B3" s="6" t="s">
        <v>4</v>
      </c>
      <c r="C3" s="7" t="s">
        <v>5</v>
      </c>
      <c r="D3" s="7" t="s">
        <v>6</v>
      </c>
    </row>
    <row r="4" spans="1:4" ht="201.6" x14ac:dyDescent="0.3">
      <c r="A4" s="6">
        <v>10</v>
      </c>
      <c r="B4" s="6" t="s">
        <v>7</v>
      </c>
      <c r="C4" s="7" t="s">
        <v>8</v>
      </c>
      <c r="D4" s="7" t="s">
        <v>9</v>
      </c>
    </row>
    <row r="5" spans="1:4" ht="244.8" x14ac:dyDescent="0.3">
      <c r="A5" s="6">
        <v>117</v>
      </c>
      <c r="B5" s="6" t="s">
        <v>10</v>
      </c>
      <c r="C5" s="8" t="s">
        <v>11</v>
      </c>
      <c r="D5" s="8" t="s">
        <v>12</v>
      </c>
    </row>
    <row r="6" spans="1:4" ht="345.6" x14ac:dyDescent="0.3">
      <c r="A6" s="6">
        <v>143</v>
      </c>
      <c r="B6" s="6" t="s">
        <v>13</v>
      </c>
      <c r="C6" s="7" t="s">
        <v>14</v>
      </c>
      <c r="D6" s="7" t="s">
        <v>15</v>
      </c>
    </row>
    <row r="7" spans="1:4" ht="345.6" x14ac:dyDescent="0.3">
      <c r="A7" s="6">
        <v>152</v>
      </c>
      <c r="B7" s="6" t="s">
        <v>16</v>
      </c>
      <c r="C7" s="7" t="s">
        <v>17</v>
      </c>
      <c r="D7" s="7" t="s">
        <v>18</v>
      </c>
    </row>
    <row r="8" spans="1:4" ht="201.6" x14ac:dyDescent="0.3">
      <c r="A8" s="6">
        <v>322</v>
      </c>
      <c r="B8" s="6" t="s">
        <v>19</v>
      </c>
      <c r="C8" s="7" t="s">
        <v>20</v>
      </c>
      <c r="D8" s="7" t="s">
        <v>21</v>
      </c>
    </row>
    <row r="9" spans="1:4" ht="216" x14ac:dyDescent="0.3">
      <c r="A9" s="6">
        <v>322</v>
      </c>
      <c r="B9" s="6" t="s">
        <v>22</v>
      </c>
      <c r="C9" s="7" t="s">
        <v>23</v>
      </c>
      <c r="D9" s="7" t="s">
        <v>24</v>
      </c>
    </row>
    <row r="10" spans="1:4" ht="187.2" x14ac:dyDescent="0.3">
      <c r="A10" s="6">
        <v>396</v>
      </c>
      <c r="B10" s="6" t="s">
        <v>25</v>
      </c>
      <c r="C10" s="9" t="s">
        <v>26</v>
      </c>
      <c r="D10" s="9" t="s">
        <v>27</v>
      </c>
    </row>
    <row r="11" spans="1:4" ht="72" x14ac:dyDescent="0.3">
      <c r="A11" s="6">
        <v>412</v>
      </c>
      <c r="B11" s="6" t="s">
        <v>28</v>
      </c>
      <c r="C11" s="7" t="s">
        <v>29</v>
      </c>
      <c r="D11" s="7" t="s">
        <v>30</v>
      </c>
    </row>
    <row r="12" spans="1:4" ht="129.6" x14ac:dyDescent="0.3">
      <c r="A12" s="6">
        <v>670</v>
      </c>
      <c r="B12" s="6" t="s">
        <v>31</v>
      </c>
      <c r="C12" s="7" t="s">
        <v>32</v>
      </c>
      <c r="D12" s="7" t="s">
        <v>33</v>
      </c>
    </row>
    <row r="13" spans="1:4" ht="230.4" x14ac:dyDescent="0.3">
      <c r="A13" s="6">
        <v>710</v>
      </c>
      <c r="B13" s="6" t="s">
        <v>34</v>
      </c>
      <c r="C13" s="7" t="s">
        <v>35</v>
      </c>
      <c r="D13" s="7" t="s">
        <v>36</v>
      </c>
    </row>
    <row r="14" spans="1:4" ht="100.8" x14ac:dyDescent="0.3">
      <c r="A14" s="6">
        <v>943</v>
      </c>
      <c r="B14" s="6" t="s">
        <v>37</v>
      </c>
      <c r="C14" s="7" t="s">
        <v>38</v>
      </c>
      <c r="D14" s="7" t="s">
        <v>39</v>
      </c>
    </row>
    <row r="15" spans="1:4" ht="144" x14ac:dyDescent="0.3">
      <c r="A15" s="6">
        <v>946</v>
      </c>
      <c r="B15" s="6" t="s">
        <v>40</v>
      </c>
      <c r="C15" s="7" t="s">
        <v>41</v>
      </c>
      <c r="D15" s="7" t="s">
        <v>42</v>
      </c>
    </row>
    <row r="16" spans="1:4" ht="273.60000000000002" x14ac:dyDescent="0.3">
      <c r="A16" s="6">
        <v>970</v>
      </c>
      <c r="B16" s="6" t="s">
        <v>43</v>
      </c>
      <c r="C16" s="10" t="s">
        <v>44</v>
      </c>
      <c r="D16" s="10" t="s">
        <v>45</v>
      </c>
    </row>
    <row r="17" spans="1:4" ht="216" x14ac:dyDescent="0.3">
      <c r="A17" s="6">
        <v>991</v>
      </c>
      <c r="B17" s="6" t="s">
        <v>46</v>
      </c>
      <c r="C17" s="11" t="s">
        <v>47</v>
      </c>
      <c r="D17" s="11" t="s">
        <v>48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27A4A-7303-4DB9-8FDD-B842BE4C523E}">
  <dimension ref="A1:Z64"/>
  <sheetViews>
    <sheetView topLeftCell="A3" workbookViewId="0">
      <selection activeCell="T18" sqref="T18"/>
    </sheetView>
  </sheetViews>
  <sheetFormatPr defaultRowHeight="14.4" x14ac:dyDescent="0.3"/>
  <cols>
    <col min="1" max="1" width="4" style="15" bestFit="1" customWidth="1"/>
    <col min="2" max="2" width="36.88671875" style="19" customWidth="1"/>
    <col min="3" max="3" width="47.5546875" style="19" customWidth="1"/>
    <col min="4" max="4" width="10.6640625" style="19" hidden="1" customWidth="1"/>
    <col min="5" max="5" width="15.109375" style="19" hidden="1" customWidth="1"/>
    <col min="6" max="6" width="13.5546875" style="19" hidden="1" customWidth="1"/>
    <col min="7" max="7" width="14.88671875" style="19" hidden="1" customWidth="1"/>
    <col min="8" max="8" width="15.6640625" style="19" hidden="1" customWidth="1"/>
    <col min="9" max="9" width="16.5546875" style="19" hidden="1" customWidth="1"/>
    <col min="10" max="10" width="18.33203125" style="19" hidden="1" customWidth="1"/>
    <col min="11" max="11" width="18.6640625" style="19" hidden="1" customWidth="1"/>
    <col min="12" max="12" width="16.88671875" style="19" hidden="1" customWidth="1"/>
    <col min="13" max="13" width="20.88671875" style="19" hidden="1" customWidth="1"/>
    <col min="14" max="14" width="17" style="19" hidden="1" customWidth="1"/>
    <col min="15" max="15" width="22.33203125" style="19" hidden="1" customWidth="1"/>
    <col min="16" max="16" width="18.6640625" style="19" hidden="1" customWidth="1"/>
    <col min="17" max="17" width="10.5546875" style="19" hidden="1" customWidth="1"/>
    <col min="18" max="18" width="21.88671875" style="37" hidden="1" customWidth="1"/>
    <col min="19" max="19" width="5.6640625" style="37" customWidth="1"/>
    <col min="20" max="20" width="4.88671875" style="19" customWidth="1"/>
    <col min="21" max="21" width="8.44140625" style="19" customWidth="1"/>
    <col min="22" max="22" width="36.109375" style="19" hidden="1" customWidth="1"/>
    <col min="23" max="23" width="13.33203125" style="33" hidden="1" customWidth="1"/>
    <col min="24" max="24" width="19" style="19" hidden="1" customWidth="1"/>
    <col min="25" max="25" width="20.109375" style="32" customWidth="1"/>
    <col min="26" max="26" width="49.33203125" style="19" customWidth="1"/>
  </cols>
  <sheetData>
    <row r="1" spans="1:26" ht="72.599999999999994" thickBot="1" x14ac:dyDescent="0.35">
      <c r="A1" s="12" t="s">
        <v>1</v>
      </c>
      <c r="B1" s="13" t="s">
        <v>49</v>
      </c>
      <c r="C1" s="14" t="s">
        <v>50</v>
      </c>
      <c r="D1" s="63" t="s">
        <v>124</v>
      </c>
      <c r="E1" s="64"/>
      <c r="F1" s="63" t="s">
        <v>125</v>
      </c>
      <c r="G1" s="64"/>
      <c r="H1" s="23" t="s">
        <v>126</v>
      </c>
      <c r="I1" s="63" t="s">
        <v>127</v>
      </c>
      <c r="J1" s="64"/>
      <c r="K1" s="65" t="s">
        <v>128</v>
      </c>
      <c r="L1" s="66"/>
      <c r="M1" s="67" t="s">
        <v>129</v>
      </c>
      <c r="N1" s="66"/>
      <c r="O1" s="13" t="s">
        <v>130</v>
      </c>
      <c r="P1" s="13" t="s">
        <v>131</v>
      </c>
      <c r="Q1" s="13" t="s">
        <v>132</v>
      </c>
      <c r="R1" s="24" t="s">
        <v>133</v>
      </c>
      <c r="S1" s="24" t="s">
        <v>134</v>
      </c>
      <c r="T1" s="13" t="s">
        <v>135</v>
      </c>
      <c r="U1" s="13" t="s">
        <v>136</v>
      </c>
      <c r="V1" s="13" t="s">
        <v>137</v>
      </c>
      <c r="W1" s="25" t="s">
        <v>138</v>
      </c>
      <c r="X1" s="26" t="s">
        <v>139</v>
      </c>
      <c r="Y1" s="27" t="s">
        <v>140</v>
      </c>
      <c r="Z1" s="27" t="s">
        <v>141</v>
      </c>
    </row>
    <row r="2" spans="1:26" ht="374.4" x14ac:dyDescent="0.3">
      <c r="A2" s="15" t="s">
        <v>51</v>
      </c>
      <c r="B2" s="16" t="s">
        <v>52</v>
      </c>
      <c r="C2" s="7" t="s">
        <v>53</v>
      </c>
      <c r="D2" s="28"/>
      <c r="E2" s="28"/>
      <c r="F2" s="28"/>
      <c r="G2" s="28"/>
      <c r="H2" s="28"/>
      <c r="I2" s="28"/>
      <c r="J2" s="28"/>
      <c r="K2" s="29"/>
      <c r="L2" s="29"/>
      <c r="M2" s="29"/>
      <c r="N2" s="29"/>
      <c r="O2" s="30" t="s">
        <v>142</v>
      </c>
      <c r="P2" s="19" t="s">
        <v>143</v>
      </c>
      <c r="Q2" s="19" t="s">
        <v>144</v>
      </c>
      <c r="R2" s="31" t="s">
        <v>145</v>
      </c>
      <c r="S2" s="31" t="s">
        <v>146</v>
      </c>
      <c r="T2" s="19" t="s">
        <v>147</v>
      </c>
      <c r="U2" s="19" t="s">
        <v>148</v>
      </c>
      <c r="V2" s="32" t="s">
        <v>149</v>
      </c>
      <c r="W2" s="33">
        <v>800000</v>
      </c>
      <c r="X2" s="34">
        <v>800000</v>
      </c>
      <c r="Y2" s="32" t="s">
        <v>150</v>
      </c>
      <c r="Z2" s="35" t="s">
        <v>151</v>
      </c>
    </row>
    <row r="3" spans="1:26" ht="273.60000000000002" x14ac:dyDescent="0.3">
      <c r="A3" s="15" t="s">
        <v>54</v>
      </c>
      <c r="B3" s="16" t="s">
        <v>55</v>
      </c>
      <c r="C3" s="7" t="s">
        <v>56</v>
      </c>
      <c r="D3" s="29"/>
      <c r="E3" s="29"/>
      <c r="F3" s="29"/>
      <c r="G3" s="29"/>
      <c r="H3" s="29"/>
      <c r="I3" s="29"/>
      <c r="J3" s="29"/>
      <c r="K3" s="29"/>
      <c r="L3" s="29"/>
      <c r="M3" s="29"/>
      <c r="N3" s="36"/>
      <c r="O3" s="30" t="s">
        <v>152</v>
      </c>
      <c r="P3" s="19" t="s">
        <v>153</v>
      </c>
      <c r="Q3" s="19" t="s">
        <v>144</v>
      </c>
      <c r="R3" s="37" t="s">
        <v>154</v>
      </c>
      <c r="S3" s="37" t="s">
        <v>146</v>
      </c>
      <c r="T3" s="19" t="s">
        <v>147</v>
      </c>
      <c r="U3" s="19" t="s">
        <v>155</v>
      </c>
      <c r="V3" s="19" t="s">
        <v>156</v>
      </c>
      <c r="W3" s="33">
        <f>778204.84</f>
        <v>778204.84</v>
      </c>
      <c r="X3" s="34">
        <v>780000</v>
      </c>
      <c r="Y3" s="32" t="s">
        <v>150</v>
      </c>
      <c r="Z3" s="38" t="s">
        <v>157</v>
      </c>
    </row>
    <row r="4" spans="1:26" ht="230.4" x14ac:dyDescent="0.3">
      <c r="A4" s="15" t="s">
        <v>57</v>
      </c>
      <c r="B4" s="16" t="s">
        <v>58</v>
      </c>
      <c r="C4" s="7" t="s">
        <v>59</v>
      </c>
      <c r="J4" s="39"/>
      <c r="N4" s="40"/>
      <c r="P4" s="19" t="s">
        <v>158</v>
      </c>
      <c r="Q4" s="19" t="s">
        <v>144</v>
      </c>
      <c r="R4" s="41" t="s">
        <v>159</v>
      </c>
      <c r="S4" s="37" t="s">
        <v>146</v>
      </c>
      <c r="T4" s="19" t="s">
        <v>147</v>
      </c>
      <c r="U4" s="19" t="s">
        <v>160</v>
      </c>
      <c r="V4" s="19" t="s">
        <v>161</v>
      </c>
      <c r="W4" s="33">
        <v>800000</v>
      </c>
      <c r="X4" s="34">
        <v>800000</v>
      </c>
      <c r="Y4" s="32" t="s">
        <v>162</v>
      </c>
      <c r="Z4" s="42"/>
    </row>
    <row r="5" spans="1:26" ht="409.6" thickBot="1" x14ac:dyDescent="0.35">
      <c r="A5" s="15" t="s">
        <v>60</v>
      </c>
      <c r="B5" s="16" t="s">
        <v>61</v>
      </c>
      <c r="C5" s="7" t="s">
        <v>62</v>
      </c>
      <c r="D5" s="29"/>
      <c r="F5" s="29"/>
      <c r="G5" s="29"/>
      <c r="H5" s="39"/>
      <c r="I5" s="29"/>
      <c r="K5" s="39"/>
      <c r="M5" s="39"/>
      <c r="N5" s="40"/>
      <c r="P5" s="19" t="s">
        <v>163</v>
      </c>
      <c r="Q5" s="19" t="s">
        <v>144</v>
      </c>
      <c r="R5" s="37" t="s">
        <v>164</v>
      </c>
      <c r="S5" s="37" t="s">
        <v>165</v>
      </c>
      <c r="T5" s="19" t="s">
        <v>147</v>
      </c>
      <c r="U5" s="19" t="s">
        <v>166</v>
      </c>
      <c r="V5" s="19" t="s">
        <v>167</v>
      </c>
      <c r="W5" s="33">
        <v>788000</v>
      </c>
      <c r="X5" s="34">
        <v>790000</v>
      </c>
      <c r="Y5" s="32" t="s">
        <v>150</v>
      </c>
      <c r="Z5" s="43" t="s">
        <v>157</v>
      </c>
    </row>
    <row r="6" spans="1:26" ht="331.2" x14ac:dyDescent="0.3">
      <c r="A6" s="15" t="s">
        <v>63</v>
      </c>
      <c r="B6" s="16" t="s">
        <v>64</v>
      </c>
      <c r="C6" s="7" t="s">
        <v>65</v>
      </c>
      <c r="N6" s="40"/>
      <c r="P6" s="19" t="s">
        <v>168</v>
      </c>
      <c r="Q6" s="19" t="s">
        <v>144</v>
      </c>
      <c r="R6" s="31" t="s">
        <v>169</v>
      </c>
      <c r="S6" s="31" t="s">
        <v>146</v>
      </c>
      <c r="T6" s="19" t="s">
        <v>147</v>
      </c>
      <c r="U6" s="19" t="s">
        <v>170</v>
      </c>
      <c r="V6" s="19" t="s">
        <v>171</v>
      </c>
      <c r="W6" s="33">
        <v>774000</v>
      </c>
      <c r="X6" s="34">
        <v>770000</v>
      </c>
      <c r="Y6" s="32" t="s">
        <v>150</v>
      </c>
      <c r="Z6" s="38" t="s">
        <v>157</v>
      </c>
    </row>
    <row r="7" spans="1:26" ht="331.8" thickBot="1" x14ac:dyDescent="0.35">
      <c r="A7" s="15" t="s">
        <v>66</v>
      </c>
      <c r="B7" s="16" t="s">
        <v>67</v>
      </c>
      <c r="C7" s="9" t="s">
        <v>68</v>
      </c>
      <c r="D7" s="29"/>
      <c r="F7" s="29"/>
      <c r="I7" s="29"/>
      <c r="K7" s="29"/>
      <c r="M7" s="29"/>
      <c r="N7" s="40"/>
      <c r="P7" s="19" t="s">
        <v>172</v>
      </c>
      <c r="Q7" s="19" t="s">
        <v>144</v>
      </c>
      <c r="R7" s="37" t="s">
        <v>173</v>
      </c>
      <c r="S7" s="37" t="s">
        <v>146</v>
      </c>
      <c r="T7" s="19" t="s">
        <v>147</v>
      </c>
      <c r="U7" s="19" t="s">
        <v>174</v>
      </c>
      <c r="V7" s="44" t="s">
        <v>175</v>
      </c>
      <c r="W7" s="45">
        <v>493750</v>
      </c>
      <c r="X7" s="34">
        <v>490000</v>
      </c>
      <c r="Y7" s="32" t="s">
        <v>162</v>
      </c>
      <c r="Z7" s="46"/>
    </row>
    <row r="8" spans="1:26" ht="72.599999999999994" thickBot="1" x14ac:dyDescent="0.35">
      <c r="A8" s="15" t="s">
        <v>69</v>
      </c>
      <c r="B8" s="16" t="s">
        <v>70</v>
      </c>
      <c r="C8" s="17" t="s">
        <v>71</v>
      </c>
      <c r="D8" s="29"/>
      <c r="E8" s="29"/>
      <c r="F8" s="47" t="s">
        <v>176</v>
      </c>
      <c r="G8" s="47"/>
      <c r="H8" s="48" t="s">
        <v>176</v>
      </c>
      <c r="I8" s="29"/>
      <c r="K8" s="29"/>
      <c r="M8" s="29"/>
      <c r="N8" s="40"/>
      <c r="P8" s="19" t="s">
        <v>177</v>
      </c>
      <c r="Q8" s="19" t="s">
        <v>144</v>
      </c>
      <c r="R8" s="37" t="s">
        <v>178</v>
      </c>
      <c r="S8" s="37" t="s">
        <v>146</v>
      </c>
      <c r="T8" s="19" t="s">
        <v>147</v>
      </c>
      <c r="U8" s="19" t="s">
        <v>148</v>
      </c>
      <c r="V8" s="19" t="s">
        <v>179</v>
      </c>
      <c r="W8" s="33">
        <v>695000</v>
      </c>
      <c r="X8" s="34">
        <v>700000</v>
      </c>
      <c r="Y8" s="32" t="s">
        <v>150</v>
      </c>
      <c r="Z8" s="49" t="s">
        <v>151</v>
      </c>
    </row>
    <row r="9" spans="1:26" ht="409.6" thickBot="1" x14ac:dyDescent="0.35">
      <c r="A9" s="15" t="s">
        <v>72</v>
      </c>
      <c r="B9" s="16" t="s">
        <v>73</v>
      </c>
      <c r="C9" s="18" t="s">
        <v>74</v>
      </c>
      <c r="D9" s="29"/>
      <c r="E9" s="29"/>
      <c r="F9" s="39"/>
      <c r="G9" s="39"/>
      <c r="H9" s="39"/>
      <c r="I9" s="29"/>
      <c r="K9" s="39"/>
      <c r="M9" s="39"/>
      <c r="N9" s="40"/>
      <c r="O9" s="30">
        <v>45734</v>
      </c>
      <c r="P9" s="19" t="s">
        <v>180</v>
      </c>
      <c r="Q9" s="19" t="s">
        <v>144</v>
      </c>
      <c r="R9" s="41" t="s">
        <v>181</v>
      </c>
      <c r="S9" s="37" t="s">
        <v>146</v>
      </c>
      <c r="T9" s="19" t="s">
        <v>147</v>
      </c>
      <c r="U9" s="19" t="s">
        <v>182</v>
      </c>
      <c r="V9" s="19" t="s">
        <v>183</v>
      </c>
      <c r="W9" s="33">
        <v>570320</v>
      </c>
      <c r="X9" s="34">
        <v>570000</v>
      </c>
      <c r="Y9" s="32" t="s">
        <v>150</v>
      </c>
      <c r="Z9" s="49" t="s">
        <v>157</v>
      </c>
    </row>
    <row r="10" spans="1:26" ht="409.6" x14ac:dyDescent="0.3">
      <c r="A10" s="19">
        <v>117</v>
      </c>
      <c r="B10" s="16" t="s">
        <v>75</v>
      </c>
      <c r="C10" s="20" t="s">
        <v>76</v>
      </c>
      <c r="N10" s="40"/>
      <c r="P10" s="19" t="s">
        <v>184</v>
      </c>
      <c r="Q10" s="19" t="s">
        <v>144</v>
      </c>
      <c r="R10" s="37" t="s">
        <v>185</v>
      </c>
      <c r="S10" s="37" t="s">
        <v>146</v>
      </c>
      <c r="T10" s="19" t="s">
        <v>147</v>
      </c>
      <c r="U10" s="19" t="s">
        <v>170</v>
      </c>
      <c r="V10" s="19" t="s">
        <v>186</v>
      </c>
      <c r="W10" s="33">
        <f>788368.6</f>
        <v>788368.6</v>
      </c>
      <c r="X10" s="34">
        <v>790000</v>
      </c>
      <c r="Y10" s="32" t="s">
        <v>150</v>
      </c>
      <c r="Z10" s="38" t="s">
        <v>187</v>
      </c>
    </row>
    <row r="11" spans="1:26" ht="130.19999999999999" thickBot="1" x14ac:dyDescent="0.35">
      <c r="A11" s="15" t="s">
        <v>77</v>
      </c>
      <c r="B11" s="16" t="s">
        <v>78</v>
      </c>
      <c r="C11" s="21" t="s">
        <v>79</v>
      </c>
      <c r="D11" s="29"/>
      <c r="E11" s="29"/>
      <c r="F11" s="29"/>
      <c r="G11" s="29"/>
      <c r="H11" s="39" t="s">
        <v>188</v>
      </c>
      <c r="I11" s="29"/>
      <c r="K11" s="29"/>
      <c r="M11" s="29"/>
      <c r="N11" s="40"/>
      <c r="O11" s="30" t="s">
        <v>189</v>
      </c>
      <c r="P11" s="19" t="s">
        <v>190</v>
      </c>
      <c r="Q11" s="19" t="s">
        <v>144</v>
      </c>
      <c r="R11" s="37" t="s">
        <v>191</v>
      </c>
      <c r="S11" s="37" t="s">
        <v>146</v>
      </c>
      <c r="T11" s="19" t="s">
        <v>147</v>
      </c>
      <c r="U11" s="19" t="s">
        <v>192</v>
      </c>
      <c r="V11" s="19" t="s">
        <v>193</v>
      </c>
      <c r="W11" s="33">
        <v>750000</v>
      </c>
      <c r="X11" s="34">
        <v>750000</v>
      </c>
      <c r="Y11" s="32" t="s">
        <v>150</v>
      </c>
      <c r="Z11" s="43" t="s">
        <v>194</v>
      </c>
    </row>
    <row r="12" spans="1:26" ht="216.6" thickBot="1" x14ac:dyDescent="0.35">
      <c r="A12" s="15" t="s">
        <v>80</v>
      </c>
      <c r="B12" s="16" t="s">
        <v>81</v>
      </c>
      <c r="C12" s="7" t="s">
        <v>82</v>
      </c>
      <c r="D12" s="29"/>
      <c r="E12" s="29"/>
      <c r="F12" s="29"/>
      <c r="G12" s="29"/>
      <c r="H12" s="29"/>
      <c r="I12" s="29"/>
      <c r="K12" s="39"/>
      <c r="M12" s="29"/>
      <c r="N12" s="40"/>
      <c r="P12" s="19" t="s">
        <v>195</v>
      </c>
      <c r="Q12" s="19" t="s">
        <v>144</v>
      </c>
      <c r="R12" s="37" t="s">
        <v>196</v>
      </c>
      <c r="S12" s="37" t="s">
        <v>146</v>
      </c>
      <c r="T12" s="19" t="s">
        <v>147</v>
      </c>
      <c r="U12" s="19" t="s">
        <v>197</v>
      </c>
      <c r="V12" s="19" t="s">
        <v>198</v>
      </c>
      <c r="W12" s="33">
        <v>545750</v>
      </c>
      <c r="X12" s="34">
        <v>550000</v>
      </c>
      <c r="Y12" s="32" t="s">
        <v>162</v>
      </c>
      <c r="Z12" s="50"/>
    </row>
    <row r="13" spans="1:26" ht="409.6" x14ac:dyDescent="0.3">
      <c r="A13" s="15" t="s">
        <v>83</v>
      </c>
      <c r="B13" s="16" t="s">
        <v>84</v>
      </c>
      <c r="C13" s="7" t="s">
        <v>85</v>
      </c>
      <c r="D13" s="29"/>
      <c r="F13" s="39"/>
      <c r="I13" s="39"/>
      <c r="K13" s="29"/>
      <c r="M13" s="29"/>
      <c r="N13" s="40"/>
      <c r="P13" s="19" t="s">
        <v>199</v>
      </c>
      <c r="Q13" s="19" t="s">
        <v>144</v>
      </c>
      <c r="R13" s="37" t="s">
        <v>200</v>
      </c>
      <c r="S13" s="37" t="s">
        <v>165</v>
      </c>
      <c r="T13" s="19" t="s">
        <v>147</v>
      </c>
      <c r="U13" s="19" t="s">
        <v>201</v>
      </c>
      <c r="V13" s="19" t="s">
        <v>202</v>
      </c>
      <c r="W13" s="33">
        <v>674244.5</v>
      </c>
      <c r="X13" s="34">
        <v>670000</v>
      </c>
      <c r="Y13" s="32" t="s">
        <v>203</v>
      </c>
      <c r="Z13" s="42"/>
    </row>
    <row r="14" spans="1:26" ht="409.6" x14ac:dyDescent="0.3">
      <c r="A14" s="22" t="s">
        <v>86</v>
      </c>
      <c r="B14" s="16" t="s">
        <v>87</v>
      </c>
      <c r="C14" s="7" t="s">
        <v>88</v>
      </c>
      <c r="D14" s="29"/>
      <c r="E14" s="29"/>
      <c r="F14" s="29"/>
      <c r="G14" s="29"/>
      <c r="H14" s="29"/>
      <c r="I14" s="29"/>
      <c r="K14" s="29"/>
      <c r="M14" s="29"/>
      <c r="N14" s="40"/>
      <c r="O14" s="51"/>
      <c r="P14" s="51" t="s">
        <v>204</v>
      </c>
      <c r="Q14" s="51" t="s">
        <v>144</v>
      </c>
      <c r="R14" s="52" t="s">
        <v>205</v>
      </c>
      <c r="S14" s="52" t="s">
        <v>146</v>
      </c>
      <c r="T14" s="51" t="s">
        <v>206</v>
      </c>
      <c r="U14" s="53" t="s">
        <v>207</v>
      </c>
      <c r="V14" s="51" t="s">
        <v>208</v>
      </c>
      <c r="W14" s="54">
        <v>828200</v>
      </c>
      <c r="X14" s="34">
        <v>800000</v>
      </c>
      <c r="Y14" s="55" t="s">
        <v>150</v>
      </c>
      <c r="Z14" s="56" t="s">
        <v>209</v>
      </c>
    </row>
    <row r="15" spans="1:26" ht="409.6" x14ac:dyDescent="0.3">
      <c r="A15" s="15" t="s">
        <v>89</v>
      </c>
      <c r="B15" s="16" t="s">
        <v>90</v>
      </c>
      <c r="C15" s="7" t="s">
        <v>91</v>
      </c>
      <c r="D15" s="29"/>
      <c r="E15" s="29"/>
      <c r="F15" s="29"/>
      <c r="G15" s="39"/>
      <c r="H15" s="29"/>
      <c r="I15" s="29"/>
      <c r="K15" s="29"/>
      <c r="M15" s="29"/>
      <c r="N15" s="40"/>
      <c r="P15" s="19" t="s">
        <v>210</v>
      </c>
      <c r="Q15" s="19" t="s">
        <v>144</v>
      </c>
      <c r="R15" s="41" t="s">
        <v>211</v>
      </c>
      <c r="S15" s="37" t="s">
        <v>146</v>
      </c>
      <c r="T15" s="19" t="s">
        <v>206</v>
      </c>
      <c r="U15" s="19" t="s">
        <v>212</v>
      </c>
      <c r="V15" s="19" t="s">
        <v>213</v>
      </c>
      <c r="W15" s="33">
        <v>660631</v>
      </c>
      <c r="X15" s="34">
        <v>660000</v>
      </c>
      <c r="Y15" s="32" t="s">
        <v>150</v>
      </c>
      <c r="Z15" s="56" t="s">
        <v>194</v>
      </c>
    </row>
    <row r="16" spans="1:26" ht="302.39999999999998" x14ac:dyDescent="0.3">
      <c r="A16" s="15" t="s">
        <v>89</v>
      </c>
      <c r="B16" s="16" t="s">
        <v>92</v>
      </c>
      <c r="C16" s="7" t="s">
        <v>93</v>
      </c>
      <c r="D16" s="29"/>
      <c r="F16" s="39"/>
      <c r="K16" s="29"/>
      <c r="M16" s="29"/>
      <c r="N16" s="40"/>
      <c r="P16" s="19" t="s">
        <v>210</v>
      </c>
      <c r="Q16" s="19" t="s">
        <v>144</v>
      </c>
      <c r="R16" s="37" t="s">
        <v>214</v>
      </c>
      <c r="S16" s="37" t="s">
        <v>146</v>
      </c>
      <c r="T16" s="19" t="s">
        <v>206</v>
      </c>
      <c r="U16" s="19" t="s">
        <v>212</v>
      </c>
      <c r="V16" s="19" t="s">
        <v>215</v>
      </c>
      <c r="W16" s="33">
        <v>775000</v>
      </c>
      <c r="X16" s="34">
        <v>780000</v>
      </c>
      <c r="Y16" s="32" t="s">
        <v>150</v>
      </c>
      <c r="Z16" s="56" t="s">
        <v>151</v>
      </c>
    </row>
    <row r="17" spans="1:26" ht="409.6" x14ac:dyDescent="0.3">
      <c r="A17" s="15" t="s">
        <v>94</v>
      </c>
      <c r="B17" s="16" t="s">
        <v>95</v>
      </c>
      <c r="C17" s="7" t="s">
        <v>96</v>
      </c>
      <c r="D17" s="29"/>
      <c r="E17" s="29"/>
      <c r="F17" s="39"/>
      <c r="G17" s="39"/>
      <c r="H17" s="29"/>
      <c r="I17" s="29"/>
      <c r="K17" s="29"/>
      <c r="M17" s="29"/>
      <c r="N17" s="40"/>
      <c r="O17" s="57" t="s">
        <v>216</v>
      </c>
      <c r="P17" s="19" t="s">
        <v>217</v>
      </c>
      <c r="R17" s="37" t="s">
        <v>218</v>
      </c>
      <c r="S17" s="37" t="s">
        <v>146</v>
      </c>
      <c r="T17" s="19" t="s">
        <v>147</v>
      </c>
      <c r="U17" s="19" t="s">
        <v>219</v>
      </c>
      <c r="V17" s="19" t="s">
        <v>220</v>
      </c>
      <c r="W17" s="33">
        <v>794800</v>
      </c>
      <c r="X17" s="34">
        <v>790000</v>
      </c>
      <c r="Y17" s="32" t="s">
        <v>203</v>
      </c>
      <c r="Z17" s="58"/>
    </row>
    <row r="18" spans="1:26" ht="201.6" x14ac:dyDescent="0.3">
      <c r="A18" s="19">
        <v>392</v>
      </c>
      <c r="B18" s="16" t="s">
        <v>97</v>
      </c>
      <c r="C18" s="7" t="s">
        <v>98</v>
      </c>
      <c r="D18" s="29"/>
      <c r="F18" s="39"/>
      <c r="I18" s="29"/>
      <c r="K18" s="29"/>
      <c r="M18" s="29"/>
      <c r="N18" s="40"/>
      <c r="P18" s="19" t="s">
        <v>221</v>
      </c>
      <c r="Q18" s="19" t="s">
        <v>144</v>
      </c>
      <c r="R18" s="37" t="s">
        <v>222</v>
      </c>
      <c r="S18" s="37" t="s">
        <v>146</v>
      </c>
      <c r="T18" s="19" t="s">
        <v>147</v>
      </c>
      <c r="U18" s="19" t="s">
        <v>174</v>
      </c>
      <c r="V18" s="19" t="s">
        <v>223</v>
      </c>
      <c r="W18" s="33">
        <v>738020</v>
      </c>
      <c r="X18" s="34">
        <v>740000</v>
      </c>
      <c r="Y18" s="55" t="s">
        <v>162</v>
      </c>
      <c r="Z18" s="58"/>
    </row>
    <row r="19" spans="1:26" ht="409.6" thickBot="1" x14ac:dyDescent="0.35">
      <c r="A19" s="15" t="s">
        <v>99</v>
      </c>
      <c r="B19" s="16" t="s">
        <v>100</v>
      </c>
      <c r="C19" s="7" t="s">
        <v>101</v>
      </c>
      <c r="D19" s="29"/>
      <c r="E19" s="29"/>
      <c r="F19" s="39"/>
      <c r="G19" s="39"/>
      <c r="H19" s="29" t="s">
        <v>224</v>
      </c>
      <c r="I19" s="29"/>
      <c r="K19" s="39"/>
      <c r="M19" s="29"/>
      <c r="N19" s="40"/>
      <c r="P19" s="59" t="s">
        <v>225</v>
      </c>
      <c r="Q19" s="19" t="s">
        <v>144</v>
      </c>
      <c r="R19" s="37" t="s">
        <v>226</v>
      </c>
      <c r="S19" s="37" t="s">
        <v>146</v>
      </c>
      <c r="T19" s="19" t="s">
        <v>147</v>
      </c>
      <c r="U19" s="19" t="s">
        <v>160</v>
      </c>
      <c r="V19" s="19" t="s">
        <v>227</v>
      </c>
      <c r="W19" s="33">
        <v>774200</v>
      </c>
      <c r="X19" s="34">
        <v>770000</v>
      </c>
      <c r="Y19" s="32" t="s">
        <v>150</v>
      </c>
      <c r="Z19" s="43" t="s">
        <v>209</v>
      </c>
    </row>
    <row r="20" spans="1:26" ht="409.6" thickBot="1" x14ac:dyDescent="0.35">
      <c r="A20" s="15" t="s">
        <v>99</v>
      </c>
      <c r="B20" s="16" t="s">
        <v>102</v>
      </c>
      <c r="C20" s="7" t="s">
        <v>103</v>
      </c>
      <c r="D20" s="29"/>
      <c r="F20" s="29"/>
      <c r="I20" s="29"/>
      <c r="K20" s="29"/>
      <c r="M20" s="29"/>
      <c r="N20" s="40"/>
      <c r="P20" s="59" t="s">
        <v>225</v>
      </c>
      <c r="Q20" s="19" t="s">
        <v>144</v>
      </c>
      <c r="R20" s="37" t="s">
        <v>228</v>
      </c>
      <c r="S20" s="37" t="s">
        <v>146</v>
      </c>
      <c r="T20" s="19" t="s">
        <v>147</v>
      </c>
      <c r="U20" s="19" t="s">
        <v>160</v>
      </c>
      <c r="V20" s="19" t="s">
        <v>229</v>
      </c>
      <c r="W20" s="33">
        <v>659700</v>
      </c>
      <c r="X20" s="34">
        <v>660000</v>
      </c>
      <c r="Y20" s="32" t="s">
        <v>162</v>
      </c>
      <c r="Z20" s="50"/>
    </row>
    <row r="21" spans="1:26" ht="388.8" x14ac:dyDescent="0.3">
      <c r="A21" s="15" t="s">
        <v>104</v>
      </c>
      <c r="B21" s="19" t="s">
        <v>105</v>
      </c>
      <c r="C21" s="7" t="s">
        <v>106</v>
      </c>
      <c r="N21" s="40"/>
      <c r="P21" s="19" t="s">
        <v>230</v>
      </c>
      <c r="Q21" s="60" t="s">
        <v>144</v>
      </c>
      <c r="R21" s="37" t="s">
        <v>231</v>
      </c>
      <c r="S21" s="37" t="s">
        <v>146</v>
      </c>
      <c r="T21" s="19" t="s">
        <v>147</v>
      </c>
      <c r="U21" s="19" t="s">
        <v>160</v>
      </c>
      <c r="V21" s="60" t="s">
        <v>232</v>
      </c>
      <c r="W21" s="33">
        <v>800000</v>
      </c>
      <c r="X21" s="34">
        <v>1500000</v>
      </c>
      <c r="Y21" s="32" t="s">
        <v>150</v>
      </c>
      <c r="Z21" s="32" t="s">
        <v>233</v>
      </c>
    </row>
    <row r="22" spans="1:26" ht="409.6" thickBot="1" x14ac:dyDescent="0.35">
      <c r="A22" s="15" t="s">
        <v>107</v>
      </c>
      <c r="B22" s="16" t="s">
        <v>108</v>
      </c>
      <c r="C22" s="7" t="s">
        <v>109</v>
      </c>
      <c r="D22" s="29"/>
      <c r="F22" s="61"/>
      <c r="I22" s="29"/>
      <c r="K22" s="29"/>
      <c r="M22" s="29"/>
      <c r="N22" s="40"/>
      <c r="P22" s="19" t="s">
        <v>234</v>
      </c>
      <c r="Q22" s="37" t="s">
        <v>144</v>
      </c>
      <c r="R22" s="37" t="s">
        <v>235</v>
      </c>
      <c r="S22" s="37" t="s">
        <v>165</v>
      </c>
      <c r="T22" s="37" t="s">
        <v>147</v>
      </c>
      <c r="U22" s="37"/>
      <c r="V22" s="37" t="s">
        <v>236</v>
      </c>
      <c r="W22" s="37"/>
      <c r="X22" s="37"/>
      <c r="Y22" s="32" t="s">
        <v>150</v>
      </c>
      <c r="Z22" s="43" t="s">
        <v>194</v>
      </c>
    </row>
    <row r="23" spans="1:26" ht="409.6" thickBot="1" x14ac:dyDescent="0.35">
      <c r="A23" s="15" t="s">
        <v>110</v>
      </c>
      <c r="B23" s="16" t="s">
        <v>111</v>
      </c>
      <c r="C23" s="7" t="s">
        <v>112</v>
      </c>
      <c r="D23" s="29"/>
      <c r="E23" s="29"/>
      <c r="F23" s="39"/>
      <c r="G23" s="29"/>
      <c r="H23" s="29"/>
      <c r="I23" s="29"/>
      <c r="K23" s="29"/>
      <c r="M23" s="39"/>
      <c r="N23" s="40"/>
      <c r="P23" s="19" t="s">
        <v>237</v>
      </c>
      <c r="Q23" s="19" t="s">
        <v>144</v>
      </c>
      <c r="R23" s="37" t="s">
        <v>238</v>
      </c>
      <c r="S23" s="37" t="s">
        <v>146</v>
      </c>
      <c r="T23" s="19" t="s">
        <v>206</v>
      </c>
      <c r="U23" s="19" t="s">
        <v>239</v>
      </c>
      <c r="V23" s="19" t="s">
        <v>240</v>
      </c>
      <c r="W23" s="33">
        <v>690000</v>
      </c>
      <c r="X23" s="34">
        <v>690000</v>
      </c>
      <c r="Y23" s="32" t="s">
        <v>203</v>
      </c>
      <c r="Z23" s="50"/>
    </row>
    <row r="24" spans="1:26" ht="173.4" thickBot="1" x14ac:dyDescent="0.35">
      <c r="A24" s="15" t="s">
        <v>113</v>
      </c>
      <c r="B24" s="16" t="s">
        <v>114</v>
      </c>
      <c r="C24" s="7" t="s">
        <v>115</v>
      </c>
      <c r="N24" s="40"/>
      <c r="O24" s="30" t="s">
        <v>189</v>
      </c>
      <c r="P24" s="19" t="s">
        <v>241</v>
      </c>
      <c r="Q24" s="61" t="s">
        <v>144</v>
      </c>
      <c r="R24" s="37" t="s">
        <v>242</v>
      </c>
      <c r="S24" s="37" t="s">
        <v>165</v>
      </c>
      <c r="T24" s="19" t="s">
        <v>206</v>
      </c>
      <c r="U24" s="19" t="s">
        <v>243</v>
      </c>
      <c r="V24" s="19" t="s">
        <v>244</v>
      </c>
      <c r="W24" s="33" t="s">
        <v>245</v>
      </c>
      <c r="X24" s="34">
        <v>780000</v>
      </c>
      <c r="Y24" s="32" t="s">
        <v>203</v>
      </c>
      <c r="Z24" s="50"/>
    </row>
    <row r="25" spans="1:26" ht="130.19999999999999" thickBot="1" x14ac:dyDescent="0.35">
      <c r="A25" s="15" t="s">
        <v>113</v>
      </c>
      <c r="B25" s="16" t="s">
        <v>116</v>
      </c>
      <c r="C25" s="7" t="s">
        <v>117</v>
      </c>
      <c r="N25" s="40"/>
      <c r="P25" s="19" t="s">
        <v>241</v>
      </c>
      <c r="Q25" s="19" t="s">
        <v>144</v>
      </c>
      <c r="R25" s="37" t="s">
        <v>246</v>
      </c>
      <c r="S25" s="37" t="s">
        <v>165</v>
      </c>
      <c r="T25" s="19" t="s">
        <v>206</v>
      </c>
      <c r="U25" s="19" t="s">
        <v>243</v>
      </c>
      <c r="V25" s="19" t="s">
        <v>247</v>
      </c>
      <c r="W25" s="33">
        <v>792000</v>
      </c>
      <c r="X25" s="34">
        <v>790000</v>
      </c>
      <c r="Y25" s="32" t="s">
        <v>150</v>
      </c>
      <c r="Z25" s="43" t="s">
        <v>187</v>
      </c>
    </row>
    <row r="26" spans="1:26" ht="389.4" thickBot="1" x14ac:dyDescent="0.35">
      <c r="A26" s="15" t="s">
        <v>118</v>
      </c>
      <c r="B26" s="16" t="s">
        <v>119</v>
      </c>
      <c r="C26" s="7" t="s">
        <v>120</v>
      </c>
      <c r="D26" s="39"/>
      <c r="E26" s="39"/>
      <c r="F26" s="61"/>
      <c r="G26" s="61"/>
      <c r="H26" s="29"/>
      <c r="I26" s="39"/>
      <c r="K26" s="29"/>
      <c r="M26" s="39"/>
      <c r="N26" s="40"/>
      <c r="P26" s="19" t="s">
        <v>248</v>
      </c>
      <c r="Q26" s="19" t="s">
        <v>144</v>
      </c>
      <c r="R26" s="31" t="s">
        <v>249</v>
      </c>
      <c r="S26" s="31" t="s">
        <v>146</v>
      </c>
      <c r="T26" s="19" t="s">
        <v>250</v>
      </c>
      <c r="U26" s="19" t="s">
        <v>210</v>
      </c>
      <c r="V26" s="19" t="s">
        <v>251</v>
      </c>
      <c r="W26" s="33">
        <v>800000</v>
      </c>
      <c r="X26" s="34">
        <v>800000</v>
      </c>
      <c r="Y26" s="32" t="s">
        <v>203</v>
      </c>
      <c r="Z26" s="43"/>
    </row>
    <row r="27" spans="1:26" ht="331.8" thickBot="1" x14ac:dyDescent="0.35">
      <c r="A27" s="15" t="s">
        <v>121</v>
      </c>
      <c r="B27" s="16" t="s">
        <v>122</v>
      </c>
      <c r="C27" s="7" t="s">
        <v>123</v>
      </c>
      <c r="D27" s="39"/>
      <c r="E27" s="39"/>
      <c r="F27" s="39"/>
      <c r="G27" s="39"/>
      <c r="H27" s="29"/>
      <c r="I27" s="29"/>
      <c r="K27" s="39"/>
      <c r="M27" s="29"/>
      <c r="N27" s="40"/>
      <c r="O27" s="30" t="s">
        <v>252</v>
      </c>
      <c r="P27" s="19" t="s">
        <v>253</v>
      </c>
      <c r="Q27" s="19" t="s">
        <v>144</v>
      </c>
      <c r="R27" s="37" t="s">
        <v>254</v>
      </c>
      <c r="S27" s="37" t="s">
        <v>146</v>
      </c>
      <c r="T27" s="19" t="s">
        <v>250</v>
      </c>
      <c r="U27" s="19" t="s">
        <v>255</v>
      </c>
      <c r="V27" s="19" t="s">
        <v>256</v>
      </c>
      <c r="W27" s="33">
        <v>771000</v>
      </c>
      <c r="X27" s="34">
        <v>770000</v>
      </c>
      <c r="Y27" s="32" t="s">
        <v>162</v>
      </c>
      <c r="Z27" s="50"/>
    </row>
    <row r="30" spans="1:26" x14ac:dyDescent="0.3">
      <c r="Z30" s="51"/>
    </row>
    <row r="31" spans="1:26" x14ac:dyDescent="0.3">
      <c r="X31" s="34"/>
    </row>
    <row r="34" spans="24:26" x14ac:dyDescent="0.3">
      <c r="Z34" s="34"/>
    </row>
    <row r="38" spans="24:26" x14ac:dyDescent="0.3">
      <c r="X38" s="34"/>
    </row>
    <row r="41" spans="24:26" x14ac:dyDescent="0.3">
      <c r="X41" s="34"/>
    </row>
    <row r="49" spans="26:26" x14ac:dyDescent="0.3">
      <c r="Z49" s="34"/>
    </row>
    <row r="54" spans="26:26" x14ac:dyDescent="0.3">
      <c r="Z54" s="34"/>
    </row>
    <row r="61" spans="26:26" x14ac:dyDescent="0.3">
      <c r="Z61" s="34"/>
    </row>
    <row r="64" spans="26:26" x14ac:dyDescent="0.3">
      <c r="Z64" s="34"/>
    </row>
  </sheetData>
  <mergeCells count="5">
    <mergeCell ref="D1:E1"/>
    <mergeCell ref="F1:G1"/>
    <mergeCell ref="I1:J1"/>
    <mergeCell ref="K1:L1"/>
    <mergeCell ref="M1:N1"/>
  </mergeCells>
  <conditionalFormatting sqref="X1:X21 X23:X1048576">
    <cfRule type="expression" dxfId="0" priority="1">
      <formula>W1&gt;X1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ec72577-92bb-4004-8b26-7ca0b8ff6ec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0E7F475A148544826DC5E4554EC710" ma:contentTypeVersion="12" ma:contentTypeDescription="Een nieuw document maken." ma:contentTypeScope="" ma:versionID="43c505f8b8616228ca3b2b9ee3989f09">
  <xsd:schema xmlns:xsd="http://www.w3.org/2001/XMLSchema" xmlns:xs="http://www.w3.org/2001/XMLSchema" xmlns:p="http://schemas.microsoft.com/office/2006/metadata/properties" xmlns:ns2="2ec72577-92bb-4004-8b26-7ca0b8ff6ece" targetNamespace="http://schemas.microsoft.com/office/2006/metadata/properties" ma:root="true" ma:fieldsID="9017eb57d84550644c26cda562a061c6" ns2:_="">
    <xsd:import namespace="2ec72577-92bb-4004-8b26-7ca0b8ff6e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c72577-92bb-4004-8b26-7ca0b8ff6e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3677b756-bb6c-42c0-a500-a3c5d40b597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421C78-4521-4677-AB56-93FBE32BA964}">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2ec72577-92bb-4004-8b26-7ca0b8ff6ece"/>
    <ds:schemaRef ds:uri="http://www.w3.org/XML/1998/namespace"/>
  </ds:schemaRefs>
</ds:datastoreItem>
</file>

<file path=customXml/itemProps2.xml><?xml version="1.0" encoding="utf-8"?>
<ds:datastoreItem xmlns:ds="http://schemas.openxmlformats.org/officeDocument/2006/customXml" ds:itemID="{FB44C85C-1871-45CB-9851-727B5E16F96C}">
  <ds:schemaRefs>
    <ds:schemaRef ds:uri="http://schemas.microsoft.com/sharepoint/v3/contenttype/forms"/>
  </ds:schemaRefs>
</ds:datastoreItem>
</file>

<file path=customXml/itemProps3.xml><?xml version="1.0" encoding="utf-8"?>
<ds:datastoreItem xmlns:ds="http://schemas.openxmlformats.org/officeDocument/2006/customXml" ds:itemID="{AEEF0600-0568-4443-AF13-7B2B0A394F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c72577-92bb-4004-8b26-7ca0b8ff6e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Data Capabilities projects</vt:lpstr>
      <vt:lpstr>Data Innovation projects</vt:lpstr>
    </vt:vector>
  </TitlesOfParts>
  <Company>FOD VVL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Véronique De Leeuw (FOD VVVL - SPF SPSCAE)</dc:creator>
  <cp:lastModifiedBy>Véronique De Leeuw (FOD VVVL - SPF SPSCAE)</cp:lastModifiedBy>
  <dcterms:created xsi:type="dcterms:W3CDTF">2026-05-19T07:39:23Z</dcterms:created>
  <dcterms:modified xsi:type="dcterms:W3CDTF">2026-05-21T07:42:18Z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0x0101001F0E7F475A148544826DC5E4554EC710</vt:lpwstr>
  </property>
  <property fmtid="{D5CDD505-2E9C-101B-9397-08002B2CF9AE}" pid="3" name="MediaServiceImageTags">
    <vt:lpwstr/>
  </property>
</Properties>
</file>